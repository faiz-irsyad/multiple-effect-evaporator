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2314051fdd6abf4/Documents/"/>
    </mc:Choice>
  </mc:AlternateContent>
  <xr:revisionPtr revIDLastSave="18" documentId="8_{6D3FCE94-88E3-4781-BF5A-8DF388D50BA5}" xr6:coauthVersionLast="47" xr6:coauthVersionMax="47" xr10:uidLastSave="{4326B08F-EA6B-4537-845F-B929670445C2}"/>
  <bookViews>
    <workbookView xWindow="-120" yWindow="-120" windowWidth="20730" windowHeight="11040" xr2:uid="{378C5145-A6A8-4058-AD2E-A06079BBB47E}"/>
  </bookViews>
  <sheets>
    <sheet name="petunjuk solver" sheetId="6" r:id="rId1"/>
    <sheet name="forward3" sheetId="1" r:id="rId2"/>
    <sheet name="forward2" sheetId="3" r:id="rId3"/>
    <sheet name="backward3" sheetId="4" r:id="rId4"/>
    <sheet name="backward2" sheetId="5" r:id="rId5"/>
    <sheet name="STEAM TABLE" sheetId="2" r:id="rId6"/>
  </sheets>
  <definedNames>
    <definedName name="solver_adj" localSheetId="4" hidden="1">backward2!$B$32</definedName>
    <definedName name="solver_adj" localSheetId="3" hidden="1">backward3!$B$33,backward3!$B$34,backward3!$B$35</definedName>
    <definedName name="solver_adj" localSheetId="2" hidden="1">forward2!$B$32</definedName>
    <definedName name="solver_adj" localSheetId="1" hidden="1">forward3!$B$33,forward3!$B$35</definedName>
    <definedName name="solver_cvg" localSheetId="4" hidden="1">0.0001</definedName>
    <definedName name="solver_cvg" localSheetId="3" hidden="1">0.0001</definedName>
    <definedName name="solver_cvg" localSheetId="2" hidden="1">0.0001</definedName>
    <definedName name="solver_cvg" localSheetId="1" hidden="1">0.0001</definedName>
    <definedName name="solver_drv" localSheetId="4" hidden="1">1</definedName>
    <definedName name="solver_drv" localSheetId="3" hidden="1">1</definedName>
    <definedName name="solver_drv" localSheetId="2" hidden="1">1</definedName>
    <definedName name="solver_drv" localSheetId="1" hidden="1">1</definedName>
    <definedName name="solver_eng" localSheetId="4" hidden="1">1</definedName>
    <definedName name="solver_eng" localSheetId="3" hidden="1">1</definedName>
    <definedName name="solver_eng" localSheetId="2" hidden="1">1</definedName>
    <definedName name="solver_eng" localSheetId="1" hidden="1">1</definedName>
    <definedName name="solver_eng" localSheetId="0" hidden="1">1</definedName>
    <definedName name="solver_est" localSheetId="4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itr" localSheetId="4" hidden="1">2147483647</definedName>
    <definedName name="solver_itr" localSheetId="3" hidden="1">2147483647</definedName>
    <definedName name="solver_itr" localSheetId="2" hidden="1">2147483647</definedName>
    <definedName name="solver_itr" localSheetId="1" hidden="1">2147483647</definedName>
    <definedName name="solver_lhs1" localSheetId="4" hidden="1">backward2!$B$32</definedName>
    <definedName name="solver_lhs1" localSheetId="3" hidden="1">backward3!$B$33</definedName>
    <definedName name="solver_lhs1" localSheetId="2" hidden="1">forward2!$B$32</definedName>
    <definedName name="solver_lhs1" localSheetId="1" hidden="1">forward3!$B$33</definedName>
    <definedName name="solver_lhs2" localSheetId="4" hidden="1">backward2!$B$33</definedName>
    <definedName name="solver_lhs2" localSheetId="3" hidden="1">backward3!$B$34</definedName>
    <definedName name="solver_lhs2" localSheetId="2" hidden="1">forward2!$B$33</definedName>
    <definedName name="solver_lhs2" localSheetId="1" hidden="1">forward3!$B$34</definedName>
    <definedName name="solver_lhs3" localSheetId="4" hidden="1">backward2!$B$73</definedName>
    <definedName name="solver_lhs3" localSheetId="3" hidden="1">backward3!$B$35</definedName>
    <definedName name="solver_lhs3" localSheetId="2" hidden="1">forward2!$B$73</definedName>
    <definedName name="solver_lhs3" localSheetId="1" hidden="1">forward3!$B$35</definedName>
    <definedName name="solver_lhs4" localSheetId="4" hidden="1">backward2!$B$74</definedName>
    <definedName name="solver_lhs4" localSheetId="3" hidden="1">backward3!$B$79</definedName>
    <definedName name="solver_lhs4" localSheetId="2" hidden="1">forward2!$B$74</definedName>
    <definedName name="solver_lhs4" localSheetId="1" hidden="1">forward3!$B$79</definedName>
    <definedName name="solver_lhs5" localSheetId="4" hidden="1">backward2!$B$74</definedName>
    <definedName name="solver_lhs5" localSheetId="3" hidden="1">backward3!$B$80</definedName>
    <definedName name="solver_lhs5" localSheetId="2" hidden="1">forward2!$B$74</definedName>
    <definedName name="solver_lhs5" localSheetId="1" hidden="1">forward3!$B$80</definedName>
    <definedName name="solver_mip" localSheetId="4" hidden="1">2147483647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ni" localSheetId="4" hidden="1">30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rt" localSheetId="4" hidden="1">0.075</definedName>
    <definedName name="solver_mrt" localSheetId="3" hidden="1">0.075</definedName>
    <definedName name="solver_mrt" localSheetId="2" hidden="1">0.075</definedName>
    <definedName name="solver_mrt" localSheetId="1" hidden="1">0.075</definedName>
    <definedName name="solver_msl" localSheetId="4" hidden="1">2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neg" localSheetId="4" hidden="1">1</definedName>
    <definedName name="solver_neg" localSheetId="3" hidden="1">1</definedName>
    <definedName name="solver_neg" localSheetId="2" hidden="1">1</definedName>
    <definedName name="solver_neg" localSheetId="1" hidden="1">1</definedName>
    <definedName name="solver_neg" localSheetId="0" hidden="1">1</definedName>
    <definedName name="solver_nod" localSheetId="4" hidden="1">2147483647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um" localSheetId="4" hidden="1">3</definedName>
    <definedName name="solver_num" localSheetId="3" hidden="1">5</definedName>
    <definedName name="solver_num" localSheetId="2" hidden="1">3</definedName>
    <definedName name="solver_num" localSheetId="1" hidden="1">5</definedName>
    <definedName name="solver_num" localSheetId="0" hidden="1">0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opt" localSheetId="4" hidden="1">backward2!$B$76</definedName>
    <definedName name="solver_opt" localSheetId="3" hidden="1">backward3!$B$82</definedName>
    <definedName name="solver_opt" localSheetId="2" hidden="1">forward2!$B$76</definedName>
    <definedName name="solver_opt" localSheetId="1" hidden="1">forward3!$B$82</definedName>
    <definedName name="solver_opt" localSheetId="0" hidden="1">'petunjuk solver'!$A$3</definedName>
    <definedName name="solver_pre" localSheetId="4" hidden="1">0.000001</definedName>
    <definedName name="solver_pre" localSheetId="3" hidden="1">0.000001</definedName>
    <definedName name="solver_pre" localSheetId="2" hidden="1">0.000001</definedName>
    <definedName name="solver_pre" localSheetId="1" hidden="1">0.000001</definedName>
    <definedName name="solver_rbv" localSheetId="4" hidden="1">1</definedName>
    <definedName name="solver_rbv" localSheetId="3" hidden="1">1</definedName>
    <definedName name="solver_rbv" localSheetId="2" hidden="1">1</definedName>
    <definedName name="solver_rbv" localSheetId="1" hidden="1">1</definedName>
    <definedName name="solver_rel1" localSheetId="4" hidden="1">3</definedName>
    <definedName name="solver_rel1" localSheetId="3" hidden="1">3</definedName>
    <definedName name="solver_rel1" localSheetId="2" hidden="1">3</definedName>
    <definedName name="solver_rel1" localSheetId="1" hidden="1">3</definedName>
    <definedName name="solver_rel2" localSheetId="4" hidden="1">3</definedName>
    <definedName name="solver_rel2" localSheetId="3" hidden="1">3</definedName>
    <definedName name="solver_rel2" localSheetId="2" hidden="1">3</definedName>
    <definedName name="solver_rel2" localSheetId="1" hidden="1">3</definedName>
    <definedName name="solver_rel3" localSheetId="4" hidden="1">2</definedName>
    <definedName name="solver_rel3" localSheetId="3" hidden="1">3</definedName>
    <definedName name="solver_rel3" localSheetId="2" hidden="1">2</definedName>
    <definedName name="solver_rel3" localSheetId="1" hidden="1">3</definedName>
    <definedName name="solver_rel4" localSheetId="4" hidden="1">2</definedName>
    <definedName name="solver_rel4" localSheetId="3" hidden="1">2</definedName>
    <definedName name="solver_rel4" localSheetId="2" hidden="1">2</definedName>
    <definedName name="solver_rel4" localSheetId="1" hidden="1">2</definedName>
    <definedName name="solver_rel5" localSheetId="4" hidden="1">2</definedName>
    <definedName name="solver_rel5" localSheetId="3" hidden="1">2</definedName>
    <definedName name="solver_rel5" localSheetId="2" hidden="1">2</definedName>
    <definedName name="solver_rel5" localSheetId="1" hidden="1">2</definedName>
    <definedName name="solver_rhs1" localSheetId="4" hidden="1">0.1</definedName>
    <definedName name="solver_rhs1" localSheetId="3" hidden="1">0.1</definedName>
    <definedName name="solver_rhs1" localSheetId="2" hidden="1">0.1</definedName>
    <definedName name="solver_rhs1" localSheetId="1" hidden="1">0.1</definedName>
    <definedName name="solver_rhs2" localSheetId="4" hidden="1">0.1</definedName>
    <definedName name="solver_rhs2" localSheetId="3" hidden="1">0.1</definedName>
    <definedName name="solver_rhs2" localSheetId="2" hidden="1">0.1</definedName>
    <definedName name="solver_rhs2" localSheetId="1" hidden="1">0.1</definedName>
    <definedName name="solver_rhs3" localSheetId="4" hidden="1">backward2!$B$74</definedName>
    <definedName name="solver_rhs3" localSheetId="3" hidden="1">0.1</definedName>
    <definedName name="solver_rhs3" localSheetId="2" hidden="1">forward2!$B$74</definedName>
    <definedName name="solver_rhs3" localSheetId="1" hidden="1">0.1</definedName>
    <definedName name="solver_rhs4" localSheetId="4" hidden="1">backward2!$B$75</definedName>
    <definedName name="solver_rhs4" localSheetId="3" hidden="1">backward3!$B$80</definedName>
    <definedName name="solver_rhs4" localSheetId="2" hidden="1">forward2!$B$75</definedName>
    <definedName name="solver_rhs4" localSheetId="1" hidden="1">forward3!$B$80</definedName>
    <definedName name="solver_rhs5" localSheetId="4" hidden="1">backward2!$B$75</definedName>
    <definedName name="solver_rhs5" localSheetId="3" hidden="1">backward3!$B$81</definedName>
    <definedName name="solver_rhs5" localSheetId="2" hidden="1">forward2!$B$75</definedName>
    <definedName name="solver_rhs5" localSheetId="1" hidden="1">forward3!$B$81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sd" localSheetId="4" hidden="1">0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scl" localSheetId="4" hidden="1">1</definedName>
    <definedName name="solver_scl" localSheetId="3" hidden="1">1</definedName>
    <definedName name="solver_scl" localSheetId="2" hidden="1">1</definedName>
    <definedName name="solver_scl" localSheetId="1" hidden="1">1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sz" localSheetId="4" hidden="1">100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tim" localSheetId="4" hidden="1">2147483647</definedName>
    <definedName name="solver_tim" localSheetId="3" hidden="1">2147483647</definedName>
    <definedName name="solver_tim" localSheetId="2" hidden="1">2147483647</definedName>
    <definedName name="solver_tim" localSheetId="1" hidden="1">2147483647</definedName>
    <definedName name="solver_tol" localSheetId="4" hidden="1">0.01</definedName>
    <definedName name="solver_tol" localSheetId="3" hidden="1">0.01</definedName>
    <definedName name="solver_tol" localSheetId="2" hidden="1">0.01</definedName>
    <definedName name="solver_tol" localSheetId="1" hidden="1">0.01</definedName>
    <definedName name="solver_typ" localSheetId="4" hidden="1">3</definedName>
    <definedName name="solver_typ" localSheetId="3" hidden="1">3</definedName>
    <definedName name="solver_typ" localSheetId="2" hidden="1">3</definedName>
    <definedName name="solver_typ" localSheetId="1" hidden="1">3</definedName>
    <definedName name="solver_typ" localSheetId="0" hidden="1">1</definedName>
    <definedName name="solver_val" localSheetId="4" hidden="1">1</definedName>
    <definedName name="solver_val" localSheetId="3" hidden="1">1</definedName>
    <definedName name="solver_val" localSheetId="2" hidden="1">1</definedName>
    <definedName name="solver_val" localSheetId="1" hidden="1">1</definedName>
    <definedName name="solver_val" localSheetId="0" hidden="1">0</definedName>
    <definedName name="solver_ver" localSheetId="4" hidden="1">3</definedName>
    <definedName name="solver_ver" localSheetId="3" hidden="1">3</definedName>
    <definedName name="solver_ver" localSheetId="2" hidden="1">3</definedName>
    <definedName name="solver_ver" localSheetId="1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2" i="4" l="1"/>
  <c r="B66" i="4"/>
  <c r="B65" i="4"/>
  <c r="E57" i="5"/>
  <c r="D57" i="5"/>
  <c r="C57" i="5"/>
  <c r="E56" i="5"/>
  <c r="D56" i="5"/>
  <c r="C56" i="5"/>
  <c r="B56" i="5"/>
  <c r="B36" i="5"/>
  <c r="B19" i="5"/>
  <c r="A16" i="5"/>
  <c r="A11" i="5"/>
  <c r="C9" i="5"/>
  <c r="D9" i="5" s="1"/>
  <c r="C8" i="5"/>
  <c r="D8" i="5" s="1"/>
  <c r="B8" i="5"/>
  <c r="A7" i="5"/>
  <c r="B58" i="4"/>
  <c r="B53" i="4"/>
  <c r="B23" i="4"/>
  <c r="B22" i="4"/>
  <c r="B21" i="4"/>
  <c r="B19" i="4"/>
  <c r="B20" i="4"/>
  <c r="B65" i="1"/>
  <c r="B42" i="4"/>
  <c r="B24" i="4"/>
  <c r="B19" i="1"/>
  <c r="B20" i="1"/>
  <c r="B41" i="4"/>
  <c r="E60" i="4"/>
  <c r="D60" i="4"/>
  <c r="C60" i="4"/>
  <c r="E59" i="4"/>
  <c r="D59" i="4"/>
  <c r="C59" i="4"/>
  <c r="B59" i="4"/>
  <c r="B37" i="4"/>
  <c r="B17" i="4"/>
  <c r="A11" i="4"/>
  <c r="C9" i="4"/>
  <c r="D9" i="4" s="1"/>
  <c r="C8" i="4"/>
  <c r="D8" i="4" s="1"/>
  <c r="B8" i="4"/>
  <c r="A7" i="4"/>
  <c r="B31" i="3"/>
  <c r="B36" i="3"/>
  <c r="B39" i="3" s="1"/>
  <c r="B33" i="3" s="1"/>
  <c r="E57" i="3"/>
  <c r="D57" i="3"/>
  <c r="C57" i="3"/>
  <c r="E56" i="3"/>
  <c r="D56" i="3"/>
  <c r="C56" i="3"/>
  <c r="B56" i="3"/>
  <c r="A19" i="3"/>
  <c r="A16" i="3"/>
  <c r="A11" i="3"/>
  <c r="C9" i="3"/>
  <c r="D9" i="3" s="1"/>
  <c r="C8" i="3"/>
  <c r="D8" i="3" s="1"/>
  <c r="B8" i="3"/>
  <c r="B40" i="3" s="1"/>
  <c r="A7" i="3"/>
  <c r="E60" i="1"/>
  <c r="E59" i="1"/>
  <c r="B37" i="1"/>
  <c r="B40" i="1" s="1"/>
  <c r="C8" i="1"/>
  <c r="D8" i="1" s="1"/>
  <c r="A19" i="1"/>
  <c r="A16" i="1"/>
  <c r="A7" i="1"/>
  <c r="A11" i="1"/>
  <c r="C9" i="1"/>
  <c r="D9" i="1" s="1"/>
  <c r="B39" i="5" l="1"/>
  <c r="B40" i="5"/>
  <c r="B31" i="5"/>
  <c r="B11" i="5"/>
  <c r="B37" i="5" s="1"/>
  <c r="B33" i="5" s="1"/>
  <c r="B20" i="5"/>
  <c r="D59" i="5"/>
  <c r="C59" i="5" s="1"/>
  <c r="D58" i="5"/>
  <c r="D48" i="5"/>
  <c r="C48" i="5" s="1"/>
  <c r="D47" i="5"/>
  <c r="B40" i="4"/>
  <c r="B32" i="4"/>
  <c r="B11" i="4"/>
  <c r="B39" i="4" s="1"/>
  <c r="D62" i="4"/>
  <c r="C62" i="4" s="1"/>
  <c r="D61" i="4"/>
  <c r="D50" i="4"/>
  <c r="C50" i="4" s="1"/>
  <c r="D49" i="4"/>
  <c r="B11" i="3"/>
  <c r="B37" i="3" s="1"/>
  <c r="B19" i="3"/>
  <c r="D59" i="3"/>
  <c r="C59" i="3" s="1"/>
  <c r="D58" i="3"/>
  <c r="D48" i="3"/>
  <c r="C48" i="3" s="1"/>
  <c r="D47" i="3"/>
  <c r="B21" i="1"/>
  <c r="D49" i="1"/>
  <c r="D50" i="1"/>
  <c r="D62" i="1"/>
  <c r="C62" i="1" s="1"/>
  <c r="D61" i="1"/>
  <c r="D59" i="1"/>
  <c r="C59" i="1"/>
  <c r="B59" i="1" s="1"/>
  <c r="D60" i="1"/>
  <c r="C60" i="1"/>
  <c r="B22" i="1"/>
  <c r="B23" i="1" s="1"/>
  <c r="B24" i="1"/>
  <c r="B25" i="1" s="1"/>
  <c r="B8" i="1"/>
  <c r="B11" i="1"/>
  <c r="B39" i="1" s="1"/>
  <c r="C47" i="5" l="1"/>
  <c r="B47" i="5"/>
  <c r="B53" i="5" s="1"/>
  <c r="C58" i="5"/>
  <c r="B58" i="5"/>
  <c r="B61" i="5" s="1"/>
  <c r="B21" i="5"/>
  <c r="D50" i="5"/>
  <c r="C50" i="5" s="1"/>
  <c r="D49" i="5"/>
  <c r="C49" i="4"/>
  <c r="B49" i="4" s="1"/>
  <c r="B56" i="4" s="1"/>
  <c r="C61" i="4"/>
  <c r="B61" i="4"/>
  <c r="D64" i="4"/>
  <c r="C64" i="4" s="1"/>
  <c r="D63" i="4"/>
  <c r="D52" i="4"/>
  <c r="C52" i="4" s="1"/>
  <c r="D51" i="4"/>
  <c r="B38" i="4"/>
  <c r="D54" i="4"/>
  <c r="C54" i="4" s="1"/>
  <c r="D53" i="4"/>
  <c r="C47" i="3"/>
  <c r="B47" i="3"/>
  <c r="B53" i="3" s="1"/>
  <c r="C58" i="3"/>
  <c r="B58" i="3"/>
  <c r="B20" i="3"/>
  <c r="D50" i="3"/>
  <c r="C50" i="3" s="1"/>
  <c r="D49" i="3"/>
  <c r="B41" i="1"/>
  <c r="C61" i="1"/>
  <c r="C49" i="1"/>
  <c r="B38" i="1"/>
  <c r="B34" i="1" s="1"/>
  <c r="B32" i="1"/>
  <c r="B42" i="1"/>
  <c r="C50" i="1"/>
  <c r="B26" i="1"/>
  <c r="B64" i="5" l="1"/>
  <c r="B63" i="5"/>
  <c r="B62" i="5"/>
  <c r="C49" i="5"/>
  <c r="B49" i="5"/>
  <c r="B54" i="5" s="1"/>
  <c r="B24" i="5"/>
  <c r="B22" i="5"/>
  <c r="C53" i="4"/>
  <c r="C51" i="4"/>
  <c r="B51" i="4" s="1"/>
  <c r="B57" i="4" s="1"/>
  <c r="C63" i="4"/>
  <c r="B63" i="4"/>
  <c r="C49" i="3"/>
  <c r="B49" i="3"/>
  <c r="B54" i="3" s="1"/>
  <c r="B61" i="3" s="1"/>
  <c r="B21" i="3"/>
  <c r="B49" i="1"/>
  <c r="B61" i="1" s="1"/>
  <c r="D64" i="1"/>
  <c r="C64" i="1" s="1"/>
  <c r="D52" i="1"/>
  <c r="D63" i="1"/>
  <c r="D51" i="1"/>
  <c r="D54" i="1"/>
  <c r="D53" i="1"/>
  <c r="C52" i="1"/>
  <c r="C54" i="1"/>
  <c r="B56" i="1"/>
  <c r="B25" i="5" l="1"/>
  <c r="B71" i="5"/>
  <c r="B74" i="5" s="1"/>
  <c r="B70" i="5"/>
  <c r="B73" i="5" s="1"/>
  <c r="B76" i="5" s="1"/>
  <c r="B68" i="4"/>
  <c r="B78" i="4" s="1"/>
  <c r="B25" i="4"/>
  <c r="B64" i="3"/>
  <c r="B63" i="3"/>
  <c r="B71" i="3" s="1"/>
  <c r="B62" i="3"/>
  <c r="B70" i="3" s="1"/>
  <c r="B73" i="3" s="1"/>
  <c r="B22" i="3"/>
  <c r="B24" i="3"/>
  <c r="B25" i="3" s="1"/>
  <c r="C63" i="1"/>
  <c r="C53" i="1"/>
  <c r="B53" i="1" s="1"/>
  <c r="B58" i="1" s="1"/>
  <c r="C51" i="1"/>
  <c r="B51" i="1" s="1"/>
  <c r="B70" i="4" l="1"/>
  <c r="B77" i="4" s="1"/>
  <c r="B67" i="4"/>
  <c r="B76" i="4" s="1"/>
  <c r="B79" i="4" s="1"/>
  <c r="B69" i="4"/>
  <c r="B81" i="4"/>
  <c r="B80" i="4"/>
  <c r="B74" i="3"/>
  <c r="B76" i="3" s="1"/>
  <c r="B57" i="1"/>
  <c r="B63" i="1"/>
  <c r="B26" i="4" l="1"/>
  <c r="B66" i="1"/>
  <c r="B70" i="1"/>
  <c r="B69" i="1" l="1"/>
  <c r="B68" i="1"/>
  <c r="B77" i="1" s="1"/>
  <c r="B80" i="1" s="1"/>
  <c r="B67" i="1"/>
  <c r="B76" i="1" s="1"/>
  <c r="B78" i="1" l="1"/>
  <c r="B81" i="1" s="1"/>
  <c r="B79" i="1"/>
  <c r="B82" i="1"/>
</calcChain>
</file>

<file path=xl/sharedStrings.xml><?xml version="1.0" encoding="utf-8"?>
<sst xmlns="http://schemas.openxmlformats.org/spreadsheetml/2006/main" count="269" uniqueCount="83">
  <si>
    <t>step 1</t>
  </si>
  <si>
    <t>P3</t>
  </si>
  <si>
    <t>x3</t>
  </si>
  <si>
    <t>F</t>
  </si>
  <si>
    <t>xf</t>
  </si>
  <si>
    <t>L3</t>
  </si>
  <si>
    <t>L1</t>
  </si>
  <si>
    <t>L2</t>
  </si>
  <si>
    <t>x1</t>
  </si>
  <si>
    <t>x2</t>
  </si>
  <si>
    <t>step 3</t>
  </si>
  <si>
    <t>BPR 1</t>
  </si>
  <si>
    <t>BPR 2</t>
  </si>
  <si>
    <t>BPR 3</t>
  </si>
  <si>
    <t>Ts1</t>
  </si>
  <si>
    <t>T1</t>
  </si>
  <si>
    <t>T2</t>
  </si>
  <si>
    <t>T3</t>
  </si>
  <si>
    <t>step 4</t>
  </si>
  <si>
    <t>Hs2</t>
  </si>
  <si>
    <t>Hs4</t>
  </si>
  <si>
    <t>Hs3</t>
  </si>
  <si>
    <t xml:space="preserve">S </t>
  </si>
  <si>
    <t>V1</t>
  </si>
  <si>
    <t>V2</t>
  </si>
  <si>
    <t>V3</t>
  </si>
  <si>
    <t>step 5</t>
  </si>
  <si>
    <t>q1</t>
  </si>
  <si>
    <t>q2</t>
  </si>
  <si>
    <t>q3</t>
  </si>
  <si>
    <t>A1</t>
  </si>
  <si>
    <t>A2</t>
  </si>
  <si>
    <t>A3</t>
  </si>
  <si>
    <t xml:space="preserve"> </t>
  </si>
  <si>
    <t>asumsi V sama tiap effect</t>
  </si>
  <si>
    <t>jumlah effect</t>
  </si>
  <si>
    <t>T3 sat</t>
  </si>
  <si>
    <t>H1</t>
  </si>
  <si>
    <t>H2</t>
  </si>
  <si>
    <t>H3</t>
  </si>
  <si>
    <t>cp superheated</t>
  </si>
  <si>
    <t>cp f</t>
  </si>
  <si>
    <t>cp l1</t>
  </si>
  <si>
    <t>cp l2</t>
  </si>
  <si>
    <t>cp l3</t>
  </si>
  <si>
    <t>sat liq</t>
  </si>
  <si>
    <t>sat vap</t>
  </si>
  <si>
    <t>T1 sat (Ts2)</t>
  </si>
  <si>
    <t>T2 sat (Ts3)</t>
  </si>
  <si>
    <t>T3 sat (Ts4)</t>
  </si>
  <si>
    <t>Tf</t>
  </si>
  <si>
    <t>U1</t>
  </si>
  <si>
    <t>U2</t>
  </si>
  <si>
    <t>U3</t>
  </si>
  <si>
    <t>T, C</t>
  </si>
  <si>
    <t>P, kpa</t>
  </si>
  <si>
    <t>T2 sat</t>
  </si>
  <si>
    <t>P2</t>
  </si>
  <si>
    <t xml:space="preserve">FORWARD-FEED EVAPORATOR </t>
  </si>
  <si>
    <t>kuning : kolom yang diisi</t>
  </si>
  <si>
    <t>V tiap effect</t>
  </si>
  <si>
    <t>step 2</t>
  </si>
  <si>
    <r>
      <rPr>
        <sz val="11"/>
        <color theme="1"/>
        <rFont val="Calibri"/>
        <family val="2"/>
      </rPr>
      <t>ΣΔ</t>
    </r>
    <r>
      <rPr>
        <sz val="11"/>
        <color theme="1"/>
        <rFont val="Calibri"/>
        <family val="2"/>
        <scheme val="minor"/>
      </rPr>
      <t>T</t>
    </r>
  </si>
  <si>
    <t>ΔT1</t>
  </si>
  <si>
    <t>ΔT2</t>
  </si>
  <si>
    <t>ΔT3</t>
  </si>
  <si>
    <t>λS1</t>
  </si>
  <si>
    <t>λS2</t>
  </si>
  <si>
    <t>λS3</t>
  </si>
  <si>
    <t>FORWARD-FEED EVAPORATOR</t>
  </si>
  <si>
    <t xml:space="preserve">BACKWARD-FEED EVAPORATOR </t>
  </si>
  <si>
    <t>BACKWARD-FEED EVAPORATOR</t>
  </si>
  <si>
    <t>BPR2</t>
  </si>
  <si>
    <t>BPR3</t>
  </si>
  <si>
    <t>variance</t>
  </si>
  <si>
    <t>by changing variable cell : ΔT1, ΔT2, ΔT3</t>
  </si>
  <si>
    <t>set objective : variance to value of 0</t>
  </si>
  <si>
    <t>AI/A2</t>
  </si>
  <si>
    <t>A1/A2</t>
  </si>
  <si>
    <t>Apabila jumlah effect = 3</t>
  </si>
  <si>
    <t>Apabila jumlah effect = 2</t>
  </si>
  <si>
    <t>set objective : A1/A2 to value of 1</t>
  </si>
  <si>
    <t>by changing variable cell : ΔT1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</si>
</sst>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4D4D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0" borderId="0" xfId="0" applyFont="1"/>
    <xf numFmtId="164" fontId="0" fillId="0" borderId="0" xfId="0" applyNumberFormat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ABC84-F92D-4108-9111-DD3C0BC46D53}">
  <dimension ref="A1:A7"/>
  <sheetViews>
    <sheetView tabSelected="1" workbookViewId="0">
      <selection activeCell="B9" sqref="B9"/>
    </sheetView>
  </sheetViews>
  <sheetFormatPr defaultRowHeight="15" x14ac:dyDescent="0.25"/>
  <sheetData>
    <row r="1" spans="1:1" x14ac:dyDescent="0.25">
      <c r="A1" t="s">
        <v>79</v>
      </c>
    </row>
    <row r="2" spans="1:1" x14ac:dyDescent="0.25">
      <c r="A2" t="s">
        <v>76</v>
      </c>
    </row>
    <row r="3" spans="1:1" x14ac:dyDescent="0.25">
      <c r="A3" t="s">
        <v>75</v>
      </c>
    </row>
    <row r="5" spans="1:1" x14ac:dyDescent="0.25">
      <c r="A5" t="s">
        <v>80</v>
      </c>
    </row>
    <row r="6" spans="1:1" x14ac:dyDescent="0.25">
      <c r="A6" t="s">
        <v>81</v>
      </c>
    </row>
    <row r="7" spans="1:1" x14ac:dyDescent="0.25">
      <c r="A7" t="s">
        <v>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560C3-AEAB-458F-8419-5E7ABE45B127}">
  <sheetPr codeName="Sheet1"/>
  <dimension ref="A1:E83"/>
  <sheetViews>
    <sheetView topLeftCell="A72" workbookViewId="0">
      <selection activeCell="A82" sqref="A82"/>
    </sheetView>
  </sheetViews>
  <sheetFormatPr defaultRowHeight="15" x14ac:dyDescent="0.25"/>
  <cols>
    <col min="1" max="1" width="28.7109375" bestFit="1" customWidth="1"/>
  </cols>
  <sheetData>
    <row r="1" spans="1:4" x14ac:dyDescent="0.25">
      <c r="A1" t="s">
        <v>58</v>
      </c>
    </row>
    <row r="2" spans="1:4" x14ac:dyDescent="0.25">
      <c r="A2" s="2" t="s">
        <v>59</v>
      </c>
      <c r="B2" s="2"/>
      <c r="C2" s="2"/>
    </row>
    <row r="3" spans="1:4" x14ac:dyDescent="0.25">
      <c r="A3" t="s">
        <v>35</v>
      </c>
      <c r="C3">
        <v>3</v>
      </c>
    </row>
    <row r="5" spans="1:4" x14ac:dyDescent="0.25">
      <c r="A5" s="3" t="s">
        <v>0</v>
      </c>
      <c r="B5" s="3"/>
      <c r="C5" s="3"/>
    </row>
    <row r="6" spans="1:4" x14ac:dyDescent="0.25">
      <c r="A6" t="s">
        <v>1</v>
      </c>
      <c r="B6" s="2">
        <v>20</v>
      </c>
    </row>
    <row r="7" spans="1:4" x14ac:dyDescent="0.25">
      <c r="A7" t="str">
        <f>"x"&amp;C3</f>
        <v>x3</v>
      </c>
      <c r="B7" s="2">
        <v>0.5</v>
      </c>
    </row>
    <row r="8" spans="1:4" x14ac:dyDescent="0.25">
      <c r="A8" t="s">
        <v>36</v>
      </c>
      <c r="B8">
        <f>_xlfn.FORECAST.LINEAR(B6,D8:D9,C8:C9)</f>
        <v>60.058939096267196</v>
      </c>
      <c r="C8" s="4">
        <f>_xlfn.MAXIFS('STEAM TABLE'!C2:C50,'STEAM TABLE'!D2:D50,"&lt;"&amp;forward3!B6)</f>
        <v>19.940000000000001</v>
      </c>
      <c r="D8" s="4">
        <f>INDEX('STEAM TABLE'!$A$2:$A$50,MATCH(forward3!C8,'STEAM TABLE'!$C$2:$C$50))</f>
        <v>60</v>
      </c>
    </row>
    <row r="9" spans="1:4" x14ac:dyDescent="0.25">
      <c r="C9" s="4">
        <f>_xlfn.MINIFS('STEAM TABLE'!C2:C50,'STEAM TABLE'!D2:D50,"&gt;"&amp;forward3!B6)</f>
        <v>25.03</v>
      </c>
      <c r="D9" s="4">
        <f>INDEX('STEAM TABLE'!$A$2:$A$50,MATCH(forward3!C9,'STEAM TABLE'!$C$2:$C$50))</f>
        <v>65</v>
      </c>
    </row>
    <row r="10" spans="1:4" x14ac:dyDescent="0.25">
      <c r="A10" t="s">
        <v>73</v>
      </c>
      <c r="B10" s="2"/>
    </row>
    <row r="11" spans="1:4" x14ac:dyDescent="0.25">
      <c r="A11" t="str">
        <f>"T"&amp;C3</f>
        <v>T3</v>
      </c>
      <c r="B11">
        <f>B8+B10</f>
        <v>60.058939096267196</v>
      </c>
    </row>
    <row r="13" spans="1:4" x14ac:dyDescent="0.25">
      <c r="A13" s="3" t="s">
        <v>61</v>
      </c>
      <c r="B13" s="3"/>
      <c r="C13" s="3"/>
    </row>
    <row r="14" spans="1:4" x14ac:dyDescent="0.25">
      <c r="A14" t="s">
        <v>3</v>
      </c>
      <c r="B14" s="2">
        <v>1000</v>
      </c>
    </row>
    <row r="15" spans="1:4" x14ac:dyDescent="0.25">
      <c r="A15" t="s">
        <v>50</v>
      </c>
      <c r="B15" s="2">
        <v>80</v>
      </c>
    </row>
    <row r="16" spans="1:4" x14ac:dyDescent="0.25">
      <c r="A16" t="str">
        <f>"x"&amp;C3</f>
        <v>x3</v>
      </c>
      <c r="B16" s="2">
        <v>0.5</v>
      </c>
    </row>
    <row r="17" spans="1:3" x14ac:dyDescent="0.25">
      <c r="A17" t="s">
        <v>4</v>
      </c>
      <c r="B17" s="2">
        <v>0.1</v>
      </c>
    </row>
    <row r="18" spans="1:3" x14ac:dyDescent="0.25">
      <c r="A18" t="s">
        <v>34</v>
      </c>
    </row>
    <row r="19" spans="1:3" x14ac:dyDescent="0.25">
      <c r="A19" t="str">
        <f>"L"&amp;C3</f>
        <v>L3</v>
      </c>
      <c r="B19">
        <f>B14*B17/B16</f>
        <v>200</v>
      </c>
    </row>
    <row r="20" spans="1:3" x14ac:dyDescent="0.25">
      <c r="A20" t="s">
        <v>60</v>
      </c>
      <c r="B20">
        <f>(B14-B19)/C3</f>
        <v>266.66666666666669</v>
      </c>
    </row>
    <row r="21" spans="1:3" x14ac:dyDescent="0.25">
      <c r="A21" t="s">
        <v>6</v>
      </c>
      <c r="B21">
        <f>B14-B20</f>
        <v>733.33333333333326</v>
      </c>
    </row>
    <row r="22" spans="1:3" x14ac:dyDescent="0.25">
      <c r="A22" t="s">
        <v>7</v>
      </c>
      <c r="B22">
        <f>B21-B20</f>
        <v>466.66666666666657</v>
      </c>
    </row>
    <row r="23" spans="1:3" x14ac:dyDescent="0.25">
      <c r="A23" t="s">
        <v>5</v>
      </c>
      <c r="B23">
        <f>B22-B20</f>
        <v>199.99999999999989</v>
      </c>
    </row>
    <row r="24" spans="1:3" x14ac:dyDescent="0.25">
      <c r="A24" t="s">
        <v>8</v>
      </c>
      <c r="B24">
        <f>B14*B17/B21</f>
        <v>0.13636363636363638</v>
      </c>
    </row>
    <row r="25" spans="1:3" x14ac:dyDescent="0.25">
      <c r="A25" t="s">
        <v>9</v>
      </c>
      <c r="B25">
        <f>B21*B24/B22</f>
        <v>0.21428571428571433</v>
      </c>
    </row>
    <row r="26" spans="1:3" x14ac:dyDescent="0.25">
      <c r="A26" t="s">
        <v>2</v>
      </c>
      <c r="B26">
        <f>B22*B25/B23</f>
        <v>0.50000000000000033</v>
      </c>
    </row>
    <row r="28" spans="1:3" x14ac:dyDescent="0.25">
      <c r="A28" s="3" t="s">
        <v>10</v>
      </c>
      <c r="B28" s="3"/>
      <c r="C28" s="3"/>
    </row>
    <row r="29" spans="1:3" x14ac:dyDescent="0.25">
      <c r="A29" t="s">
        <v>11</v>
      </c>
      <c r="B29" s="2"/>
    </row>
    <row r="30" spans="1:3" x14ac:dyDescent="0.25">
      <c r="A30" t="s">
        <v>12</v>
      </c>
      <c r="B30" s="2"/>
    </row>
    <row r="31" spans="1:3" x14ac:dyDescent="0.25">
      <c r="A31" t="s">
        <v>13</v>
      </c>
      <c r="B31" s="2"/>
    </row>
    <row r="32" spans="1:3" x14ac:dyDescent="0.25">
      <c r="A32" t="s">
        <v>62</v>
      </c>
      <c r="B32">
        <f>B36-B8-(B29+B30+B31)</f>
        <v>44.941060903732804</v>
      </c>
    </row>
    <row r="33" spans="1:3" x14ac:dyDescent="0.25">
      <c r="A33" s="5" t="s">
        <v>63</v>
      </c>
      <c r="B33" s="2">
        <v>14.024056006948895</v>
      </c>
      <c r="C33" t="s">
        <v>33</v>
      </c>
    </row>
    <row r="34" spans="1:3" x14ac:dyDescent="0.25">
      <c r="A34" s="5" t="s">
        <v>64</v>
      </c>
      <c r="B34">
        <f>B40-B38</f>
        <v>23.95509014891438</v>
      </c>
    </row>
    <row r="35" spans="1:3" x14ac:dyDescent="0.25">
      <c r="A35" s="5" t="s">
        <v>65</v>
      </c>
      <c r="B35" s="2">
        <v>6.9619147478695327</v>
      </c>
    </row>
    <row r="36" spans="1:3" x14ac:dyDescent="0.25">
      <c r="A36" t="s">
        <v>14</v>
      </c>
      <c r="B36" s="2">
        <v>105</v>
      </c>
    </row>
    <row r="37" spans="1:3" x14ac:dyDescent="0.25">
      <c r="A37" t="s">
        <v>15</v>
      </c>
      <c r="B37">
        <f>B36-B33</f>
        <v>90.975943993051104</v>
      </c>
    </row>
    <row r="38" spans="1:3" x14ac:dyDescent="0.25">
      <c r="A38" t="s">
        <v>16</v>
      </c>
      <c r="B38">
        <f>B41+B30</f>
        <v>67.020853844136724</v>
      </c>
    </row>
    <row r="39" spans="1:3" x14ac:dyDescent="0.25">
      <c r="A39" t="s">
        <v>17</v>
      </c>
      <c r="B39">
        <f>B11</f>
        <v>60.058939096267196</v>
      </c>
    </row>
    <row r="40" spans="1:3" x14ac:dyDescent="0.25">
      <c r="A40" t="s">
        <v>47</v>
      </c>
      <c r="B40">
        <f>B37-B29</f>
        <v>90.975943993051104</v>
      </c>
    </row>
    <row r="41" spans="1:3" x14ac:dyDescent="0.25">
      <c r="A41" t="s">
        <v>48</v>
      </c>
      <c r="B41">
        <f>B39+B35</f>
        <v>67.020853844136724</v>
      </c>
    </row>
    <row r="42" spans="1:3" x14ac:dyDescent="0.25">
      <c r="A42" t="s">
        <v>49</v>
      </c>
      <c r="B42">
        <f>B8</f>
        <v>60.058939096267196</v>
      </c>
    </row>
    <row r="44" spans="1:3" x14ac:dyDescent="0.25">
      <c r="A44" s="3" t="s">
        <v>18</v>
      </c>
      <c r="B44" s="3"/>
      <c r="C44" s="3"/>
    </row>
    <row r="45" spans="1:3" x14ac:dyDescent="0.25">
      <c r="A45" t="s">
        <v>41</v>
      </c>
      <c r="B45" s="2">
        <v>4.18</v>
      </c>
    </row>
    <row r="46" spans="1:3" x14ac:dyDescent="0.25">
      <c r="A46" t="s">
        <v>42</v>
      </c>
      <c r="B46" s="2">
        <v>4.18</v>
      </c>
    </row>
    <row r="47" spans="1:3" x14ac:dyDescent="0.25">
      <c r="A47" t="s">
        <v>43</v>
      </c>
      <c r="B47" s="2">
        <v>4.18</v>
      </c>
    </row>
    <row r="48" spans="1:3" x14ac:dyDescent="0.25">
      <c r="A48" t="s">
        <v>44</v>
      </c>
      <c r="B48" s="2">
        <v>4.18</v>
      </c>
    </row>
    <row r="49" spans="1:5" x14ac:dyDescent="0.25">
      <c r="A49" t="s">
        <v>19</v>
      </c>
      <c r="B49">
        <f>IF(D49=D50,C49,_xlfn.FORECAST.LINEAR(B40,C49:C50,D49:D50))</f>
        <v>2661.6615103888817</v>
      </c>
      <c r="C49" s="4">
        <f>INDEX('STEAM TABLE'!$F$2:$F$50,MATCH(forward3!D49,'STEAM TABLE'!$A$2:$A$50))</f>
        <v>2660.1</v>
      </c>
      <c r="D49" s="4">
        <f>IF(ISERROR(VLOOKUP(B40,'STEAM TABLE'!A2:A50,1,FALSE)),_xlfn.MAXIFS('STEAM TABLE'!A2:A50,'STEAM TABLE'!B2:B50,"&lt;"&amp;forward3!B40),forward3!B40)</f>
        <v>90</v>
      </c>
    </row>
    <row r="50" spans="1:5" x14ac:dyDescent="0.25">
      <c r="C50" s="4">
        <f>INDEX('STEAM TABLE'!$F$2:$F$50,MATCH(forward3!D50,'STEAM TABLE'!$A$2:$A$50))</f>
        <v>2668.1</v>
      </c>
      <c r="D50" s="4">
        <f>IF(ISERROR(VLOOKUP(B40,'STEAM TABLE'!A2:A50,1,FALSE)),_xlfn.MINIFS('STEAM TABLE'!A2:A50,'STEAM TABLE'!B2:B50,"&gt;"&amp;forward3!B40),forward3!B40)</f>
        <v>95</v>
      </c>
    </row>
    <row r="51" spans="1:5" x14ac:dyDescent="0.25">
      <c r="A51" t="s">
        <v>21</v>
      </c>
      <c r="B51">
        <f>IF(D51=D52,C51,_xlfn.FORECAST.LINEAR(B41,C51:C52,D51:D52))</f>
        <v>2621.7354515350326</v>
      </c>
      <c r="C51" s="4">
        <f>INDEX('STEAM TABLE'!$F$2:$F$50,MATCH(forward3!D51,'STEAM TABLE'!$A$2:$A$50))</f>
        <v>2618.3000000000002</v>
      </c>
      <c r="D51" s="4">
        <f>IF(ISERROR(VLOOKUP(B41,'STEAM TABLE'!A2:A50,1,FALSE)),_xlfn.MAXIFS('STEAM TABLE'!A2:A50,'STEAM TABLE'!B2:B50,"&lt;"&amp;forward3!B41),forward3!B41)</f>
        <v>65</v>
      </c>
    </row>
    <row r="52" spans="1:5" x14ac:dyDescent="0.25">
      <c r="C52" s="4">
        <f>INDEX('STEAM TABLE'!$F$2:$F$50,MATCH(forward3!D52,'STEAM TABLE'!$A$2:$A$50))</f>
        <v>2626.8</v>
      </c>
      <c r="D52" s="4">
        <f>IF(ISERROR(VLOOKUP(B41,'STEAM TABLE'!A2:A50,1,FALSE)),_xlfn.MINIFS('STEAM TABLE'!A2:A50,'STEAM TABLE'!B2:B50,"&gt;"&amp;forward3!B41),forward3!B41)</f>
        <v>70</v>
      </c>
    </row>
    <row r="53" spans="1:5" x14ac:dyDescent="0.25">
      <c r="A53" t="s">
        <v>20</v>
      </c>
      <c r="B53">
        <f>IF(D53=D54,C53,_xlfn.FORECAST.LINEAR(B42,C53:C54,D53:D54))</f>
        <v>2609.7025540275044</v>
      </c>
      <c r="C53" s="4">
        <f>INDEX('STEAM TABLE'!$F$2:$F$50,MATCH(forward3!D53,'STEAM TABLE'!$A$2:$A$50))</f>
        <v>2609.6</v>
      </c>
      <c r="D53" s="4">
        <f>IF(ISERROR(VLOOKUP(B42,'STEAM TABLE'!A2:A50,1,FALSE)),_xlfn.MAXIFS('STEAM TABLE'!A2:A50,'STEAM TABLE'!B2:B50,"&lt;"&amp;forward3!B42),forward3!B42)</f>
        <v>60</v>
      </c>
    </row>
    <row r="54" spans="1:5" x14ac:dyDescent="0.25">
      <c r="C54" s="4">
        <f>INDEX('STEAM TABLE'!$F$2:$F$50,MATCH(forward3!D54,'STEAM TABLE'!$A$2:$A$50))</f>
        <v>2618.3000000000002</v>
      </c>
      <c r="D54" s="4">
        <f>IF(ISERROR(VLOOKUP(B42,'STEAM TABLE'!A2:A50,1,FALSE)),_xlfn.MINIFS('STEAM TABLE'!A2:A50,'STEAM TABLE'!B2:B50,"&gt;"&amp;forward3!B42),forward3!B42)</f>
        <v>65</v>
      </c>
    </row>
    <row r="55" spans="1:5" x14ac:dyDescent="0.25">
      <c r="A55" t="s">
        <v>40</v>
      </c>
      <c r="B55" s="2">
        <v>1.8839999999999999</v>
      </c>
    </row>
    <row r="56" spans="1:5" x14ac:dyDescent="0.25">
      <c r="A56" t="s">
        <v>37</v>
      </c>
      <c r="B56">
        <f>B49+$B$55*B29</f>
        <v>2661.6615103888817</v>
      </c>
    </row>
    <row r="57" spans="1:5" x14ac:dyDescent="0.25">
      <c r="A57" t="s">
        <v>38</v>
      </c>
      <c r="B57">
        <f>B51+$B$55*B30</f>
        <v>2621.7354515350326</v>
      </c>
    </row>
    <row r="58" spans="1:5" x14ac:dyDescent="0.25">
      <c r="A58" t="s">
        <v>39</v>
      </c>
      <c r="B58">
        <f>B53+$B$55*B31</f>
        <v>2609.7025540275044</v>
      </c>
    </row>
    <row r="59" spans="1:5" x14ac:dyDescent="0.25">
      <c r="A59" s="5" t="s">
        <v>66</v>
      </c>
      <c r="B59">
        <f>IF(E59=E60,C59-D59,_xlfn.FORECAST.LINEAR(B36,C59:C60,E59:E60)-_xlfn.FORECAST.LINEAR(B36,D59:D60,E59:E60))</f>
        <v>2243.65</v>
      </c>
      <c r="C59" s="4">
        <f>VLOOKUP(E59,'STEAM TABLE'!$A$2:$F$50,6,FALSE)</f>
        <v>2683.8</v>
      </c>
      <c r="D59" s="4">
        <f>VLOOKUP(E59,'STEAM TABLE'!$A$2:$F$50,5,FALSE)</f>
        <v>440.15</v>
      </c>
      <c r="E59" s="4">
        <f>IF(ISERROR(VLOOKUP(B36,'STEAM TABLE'!A2:A50,1,FALSE)),_xlfn.MAXIFS('STEAM TABLE'!A2:A50,'STEAM TABLE'!B2:B50,"&lt;"&amp;forward3!B36),forward3!B36)</f>
        <v>105</v>
      </c>
    </row>
    <row r="60" spans="1:5" x14ac:dyDescent="0.25">
      <c r="C60" s="4">
        <f>VLOOKUP(E60,'STEAM TABLE'!$A$2:$F$50,6,FALSE)</f>
        <v>2683.8</v>
      </c>
      <c r="D60" s="4">
        <f>VLOOKUP(E60,'STEAM TABLE'!$A$2:$F$50,5,FALSE)</f>
        <v>440.15</v>
      </c>
      <c r="E60" s="4">
        <f>IF(ISERROR(VLOOKUP(B36,'STEAM TABLE'!A2:A50,1,FALSE)),_xlfn.MINIFS('STEAM TABLE'!A2:A50,'STEAM TABLE'!B2:B50,"&gt;"&amp;forward3!B36),forward3!B36)</f>
        <v>105</v>
      </c>
    </row>
    <row r="61" spans="1:5" x14ac:dyDescent="0.25">
      <c r="A61" s="5" t="s">
        <v>67</v>
      </c>
      <c r="B61">
        <f>IF(D61=D62,B49-C61,B49-_xlfn.FORECAST.LINEAR(B40,C61:C62,D61:D62))</f>
        <v>2280.6347380661227</v>
      </c>
      <c r="C61" s="4">
        <f>VLOOKUP(D61,'STEAM TABLE'!$A$2:$F$50,5,FALSE)</f>
        <v>376.92</v>
      </c>
      <c r="D61" s="4">
        <f>IF(ISERROR(VLOOKUP(B40,'STEAM TABLE'!A2:A50,1,FALSE)),_xlfn.MAXIFS('STEAM TABLE'!A2:A50,'STEAM TABLE'!B2:B50,"&lt;"&amp;forward3!B40),forward3!B40)</f>
        <v>90</v>
      </c>
    </row>
    <row r="62" spans="1:5" x14ac:dyDescent="0.25">
      <c r="C62" s="4">
        <f>VLOOKUP(D62,'STEAM TABLE'!$A$2:$F$50,5,FALSE)</f>
        <v>397.96</v>
      </c>
      <c r="D62" s="4">
        <f>IF(ISERROR(VLOOKUP(B40,'STEAM TABLE'!A2:A50,1,FALSE)),_xlfn.MINIFS('STEAM TABLE'!A2:A50,'STEAM TABLE'!B2:B50,"&gt;"&amp;forward3!B40),forward3!B40)</f>
        <v>95</v>
      </c>
    </row>
    <row r="63" spans="1:5" x14ac:dyDescent="0.25">
      <c r="A63" s="5" t="s">
        <v>68</v>
      </c>
      <c r="B63">
        <f>IF(D63=D64,B51-C63,B51-_xlfn.FORECAST.LINEAR(B41,C63:C64,D63:D64))</f>
        <v>2341.2201990511644</v>
      </c>
      <c r="C63" s="4">
        <f>VLOOKUP(D63,'STEAM TABLE'!$A$2:$F$50,5,FALSE)</f>
        <v>272.06</v>
      </c>
      <c r="D63" s="4">
        <f>IF(ISERROR(VLOOKUP(B41,'STEAM TABLE'!A2:A50,1,FALSE)),_xlfn.MAXIFS('STEAM TABLE'!A2:A50,'STEAM TABLE'!B2:B50,"&lt;"&amp;forward3!B41),forward3!B41)</f>
        <v>65</v>
      </c>
    </row>
    <row r="64" spans="1:5" x14ac:dyDescent="0.25">
      <c r="C64" s="4">
        <f>VLOOKUP(D64,'STEAM TABLE'!$A$2:$F$50,5,FALSE)</f>
        <v>292.98</v>
      </c>
      <c r="D64" s="4">
        <f>IF(ISERROR(VLOOKUP(B41,'STEAM TABLE'!A2:A50,1,FALSE)),_xlfn.MINIFS('STEAM TABLE'!A2:A50,'STEAM TABLE'!B2:B50,"&gt;"&amp;forward3!B41),forward3!B41)</f>
        <v>70</v>
      </c>
    </row>
    <row r="65" spans="1:3" x14ac:dyDescent="0.25">
      <c r="A65" t="s">
        <v>7</v>
      </c>
      <c r="B65">
        <f>(B19*B48*B39+B20*B58-B20*B63)/(B47*B38)</f>
        <v>434.78778725426821</v>
      </c>
    </row>
    <row r="66" spans="1:3" x14ac:dyDescent="0.25">
      <c r="A66" t="s">
        <v>6</v>
      </c>
      <c r="B66">
        <f>(B65*B47*B38+B20*B57-B20*B61)/(B46*B37)</f>
        <v>559.49581367651342</v>
      </c>
    </row>
    <row r="67" spans="1:3" x14ac:dyDescent="0.25">
      <c r="A67" t="s">
        <v>22</v>
      </c>
      <c r="B67">
        <f>(B66*B46*B37+B20*B56-B14*B45*B15)/B59</f>
        <v>262.13587715266698</v>
      </c>
    </row>
    <row r="68" spans="1:3" x14ac:dyDescent="0.25">
      <c r="A68" t="s">
        <v>23</v>
      </c>
      <c r="B68">
        <f>B14-B66</f>
        <v>440.50418632348658</v>
      </c>
    </row>
    <row r="69" spans="1:3" x14ac:dyDescent="0.25">
      <c r="A69" t="s">
        <v>24</v>
      </c>
      <c r="B69">
        <f>B66-B65</f>
        <v>124.70802642224521</v>
      </c>
    </row>
    <row r="70" spans="1:3" x14ac:dyDescent="0.25">
      <c r="A70" t="s">
        <v>25</v>
      </c>
      <c r="B70">
        <f>B65-B23</f>
        <v>234.78778725426832</v>
      </c>
    </row>
    <row r="71" spans="1:3" x14ac:dyDescent="0.25">
      <c r="B71" t="s">
        <v>33</v>
      </c>
    </row>
    <row r="72" spans="1:3" x14ac:dyDescent="0.25">
      <c r="A72" s="3" t="s">
        <v>26</v>
      </c>
      <c r="B72" s="3"/>
      <c r="C72" s="3"/>
    </row>
    <row r="73" spans="1:3" x14ac:dyDescent="0.25">
      <c r="A73" t="s">
        <v>51</v>
      </c>
      <c r="B73" s="2">
        <v>2000</v>
      </c>
    </row>
    <row r="74" spans="1:3" x14ac:dyDescent="0.25">
      <c r="A74" t="s">
        <v>52</v>
      </c>
      <c r="B74" s="2">
        <v>2000</v>
      </c>
    </row>
    <row r="75" spans="1:3" x14ac:dyDescent="0.25">
      <c r="A75" t="s">
        <v>53</v>
      </c>
      <c r="B75" s="2">
        <v>2000</v>
      </c>
    </row>
    <row r="76" spans="1:3" x14ac:dyDescent="0.25">
      <c r="A76" t="s">
        <v>27</v>
      </c>
      <c r="B76">
        <f>B67*B59</f>
        <v>588141.16077358124</v>
      </c>
    </row>
    <row r="77" spans="1:3" x14ac:dyDescent="0.25">
      <c r="A77" t="s">
        <v>28</v>
      </c>
      <c r="B77">
        <f>B68*B61</f>
        <v>1004629.1495928953</v>
      </c>
    </row>
    <row r="78" spans="1:3" x14ac:dyDescent="0.25">
      <c r="A78" t="s">
        <v>29</v>
      </c>
      <c r="B78">
        <f>B69*B63</f>
        <v>291968.95044356678</v>
      </c>
    </row>
    <row r="79" spans="1:3" x14ac:dyDescent="0.25">
      <c r="A79" t="s">
        <v>30</v>
      </c>
      <c r="B79">
        <f>B76/(B73*B33)</f>
        <v>20.969010694272697</v>
      </c>
    </row>
    <row r="80" spans="1:3" x14ac:dyDescent="0.25">
      <c r="A80" t="s">
        <v>31</v>
      </c>
      <c r="B80">
        <f t="shared" ref="B80:B81" si="0">B77/(B74*B34)</f>
        <v>20.969012083605623</v>
      </c>
    </row>
    <row r="81" spans="1:4" x14ac:dyDescent="0.25">
      <c r="A81" t="s">
        <v>32</v>
      </c>
      <c r="B81">
        <f t="shared" si="0"/>
        <v>20.96901219114428</v>
      </c>
    </row>
    <row r="82" spans="1:4" x14ac:dyDescent="0.25">
      <c r="A82" t="s">
        <v>74</v>
      </c>
      <c r="B82">
        <f ca="1">_xlfn.VAR.P(B79:B82)</f>
        <v>0</v>
      </c>
      <c r="D82" t="s">
        <v>33</v>
      </c>
    </row>
    <row r="83" spans="1:4" x14ac:dyDescent="0.25">
      <c r="B83" t="s">
        <v>33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38B5F-44D3-4276-8314-D658E188485C}">
  <sheetPr codeName="Sheet3"/>
  <dimension ref="A1:E77"/>
  <sheetViews>
    <sheetView topLeftCell="A64" workbookViewId="0">
      <selection activeCell="A77" sqref="A77"/>
    </sheetView>
  </sheetViews>
  <sheetFormatPr defaultRowHeight="15" x14ac:dyDescent="0.25"/>
  <cols>
    <col min="1" max="1" width="28.28515625" bestFit="1" customWidth="1"/>
  </cols>
  <sheetData>
    <row r="1" spans="1:4" x14ac:dyDescent="0.25">
      <c r="A1" t="s">
        <v>69</v>
      </c>
    </row>
    <row r="2" spans="1:4" x14ac:dyDescent="0.25">
      <c r="A2" s="2" t="s">
        <v>59</v>
      </c>
      <c r="B2" s="2"/>
      <c r="C2" s="2"/>
    </row>
    <row r="3" spans="1:4" x14ac:dyDescent="0.25">
      <c r="A3" t="s">
        <v>35</v>
      </c>
      <c r="C3">
        <v>2</v>
      </c>
    </row>
    <row r="5" spans="1:4" x14ac:dyDescent="0.25">
      <c r="A5" s="3" t="s">
        <v>0</v>
      </c>
      <c r="B5" s="3"/>
      <c r="C5" s="3"/>
    </row>
    <row r="6" spans="1:4" x14ac:dyDescent="0.25">
      <c r="A6" t="s">
        <v>57</v>
      </c>
      <c r="B6" s="2">
        <v>20</v>
      </c>
    </row>
    <row r="7" spans="1:4" x14ac:dyDescent="0.25">
      <c r="A7" t="str">
        <f>"x"&amp;C3</f>
        <v>x2</v>
      </c>
      <c r="B7" s="2">
        <v>0.5</v>
      </c>
    </row>
    <row r="8" spans="1:4" x14ac:dyDescent="0.25">
      <c r="A8" t="s">
        <v>56</v>
      </c>
      <c r="B8">
        <f>_xlfn.FORECAST.LINEAR(B6,D8:D9,C8:C9)</f>
        <v>60.058939096267196</v>
      </c>
      <c r="C8" s="7">
        <f>_xlfn.MAXIFS('STEAM TABLE'!C2:C50,'STEAM TABLE'!D2:D50,"&lt;"&amp;forward2!B6)</f>
        <v>19.940000000000001</v>
      </c>
      <c r="D8" s="7">
        <f>INDEX('STEAM TABLE'!$A$2:$A$50,MATCH(forward2!C8,'STEAM TABLE'!$C$2:$C$50))</f>
        <v>60</v>
      </c>
    </row>
    <row r="9" spans="1:4" x14ac:dyDescent="0.25">
      <c r="C9" s="7">
        <f>_xlfn.MINIFS('STEAM TABLE'!C2:C50,'STEAM TABLE'!D2:D50,"&gt;"&amp;forward2!B6)</f>
        <v>25.03</v>
      </c>
      <c r="D9" s="7">
        <f>INDEX('STEAM TABLE'!$A$2:$A$50,MATCH(forward2!C9,'STEAM TABLE'!$C$2:$C$50))</f>
        <v>65</v>
      </c>
    </row>
    <row r="10" spans="1:4" x14ac:dyDescent="0.25">
      <c r="A10" t="s">
        <v>72</v>
      </c>
      <c r="B10" s="2"/>
    </row>
    <row r="11" spans="1:4" x14ac:dyDescent="0.25">
      <c r="A11" t="str">
        <f>"T"&amp;C3</f>
        <v>T2</v>
      </c>
      <c r="B11">
        <f>B8+B10</f>
        <v>60.058939096267196</v>
      </c>
    </row>
    <row r="13" spans="1:4" x14ac:dyDescent="0.25">
      <c r="A13" s="3" t="s">
        <v>61</v>
      </c>
      <c r="B13" s="3"/>
      <c r="C13" s="3"/>
    </row>
    <row r="14" spans="1:4" x14ac:dyDescent="0.25">
      <c r="A14" t="s">
        <v>3</v>
      </c>
      <c r="B14" s="2">
        <v>1000</v>
      </c>
    </row>
    <row r="15" spans="1:4" x14ac:dyDescent="0.25">
      <c r="A15" t="s">
        <v>50</v>
      </c>
      <c r="B15" s="2">
        <v>80</v>
      </c>
    </row>
    <row r="16" spans="1:4" x14ac:dyDescent="0.25">
      <c r="A16" t="str">
        <f>"x"&amp;C3</f>
        <v>x2</v>
      </c>
      <c r="B16" s="2">
        <v>0.5</v>
      </c>
    </row>
    <row r="17" spans="1:3" x14ac:dyDescent="0.25">
      <c r="A17" t="s">
        <v>4</v>
      </c>
      <c r="B17" s="2">
        <v>0.1</v>
      </c>
    </row>
    <row r="18" spans="1:3" x14ac:dyDescent="0.25">
      <c r="A18" t="s">
        <v>34</v>
      </c>
    </row>
    <row r="19" spans="1:3" x14ac:dyDescent="0.25">
      <c r="A19" t="str">
        <f>"L"&amp;C3</f>
        <v>L2</v>
      </c>
      <c r="B19">
        <f>B14*B17/B16</f>
        <v>200</v>
      </c>
    </row>
    <row r="20" spans="1:3" x14ac:dyDescent="0.25">
      <c r="A20" t="s">
        <v>60</v>
      </c>
      <c r="B20">
        <f>(B14-B19)/C3</f>
        <v>400</v>
      </c>
    </row>
    <row r="21" spans="1:3" x14ac:dyDescent="0.25">
      <c r="A21" t="s">
        <v>6</v>
      </c>
      <c r="B21">
        <f>B14-B20</f>
        <v>600</v>
      </c>
    </row>
    <row r="22" spans="1:3" x14ac:dyDescent="0.25">
      <c r="A22" t="s">
        <v>7</v>
      </c>
      <c r="B22">
        <f>B21-B20</f>
        <v>200</v>
      </c>
    </row>
    <row r="24" spans="1:3" x14ac:dyDescent="0.25">
      <c r="A24" t="s">
        <v>8</v>
      </c>
      <c r="B24">
        <f>B14*B17/B21</f>
        <v>0.16666666666666666</v>
      </c>
    </row>
    <row r="25" spans="1:3" x14ac:dyDescent="0.25">
      <c r="A25" t="s">
        <v>9</v>
      </c>
      <c r="B25">
        <f>B21*B24/B22</f>
        <v>0.5</v>
      </c>
    </row>
    <row r="27" spans="1:3" x14ac:dyDescent="0.25">
      <c r="A27" s="3" t="s">
        <v>10</v>
      </c>
      <c r="B27" s="3"/>
      <c r="C27" s="3"/>
    </row>
    <row r="28" spans="1:3" x14ac:dyDescent="0.25">
      <c r="A28" t="s">
        <v>11</v>
      </c>
      <c r="B28" s="2"/>
    </row>
    <row r="29" spans="1:3" x14ac:dyDescent="0.25">
      <c r="A29" t="s">
        <v>12</v>
      </c>
      <c r="B29" s="2"/>
    </row>
    <row r="31" spans="1:3" x14ac:dyDescent="0.25">
      <c r="A31" t="s">
        <v>62</v>
      </c>
      <c r="B31">
        <f>B35-B8-(B28+B29+B30)</f>
        <v>44.941055111524207</v>
      </c>
    </row>
    <row r="32" spans="1:3" x14ac:dyDescent="0.25">
      <c r="A32" s="5" t="s">
        <v>63</v>
      </c>
      <c r="B32" s="2">
        <v>19.642251273964892</v>
      </c>
      <c r="C32" t="s">
        <v>33</v>
      </c>
    </row>
    <row r="33" spans="1:4" x14ac:dyDescent="0.25">
      <c r="A33" s="5" t="s">
        <v>64</v>
      </c>
      <c r="B33">
        <f>B39-B37</f>
        <v>25.298803837559319</v>
      </c>
    </row>
    <row r="34" spans="1:4" x14ac:dyDescent="0.25">
      <c r="B34" t="s">
        <v>33</v>
      </c>
      <c r="C34" s="6" t="s">
        <v>33</v>
      </c>
    </row>
    <row r="35" spans="1:4" x14ac:dyDescent="0.25">
      <c r="A35" t="s">
        <v>14</v>
      </c>
      <c r="B35" s="2">
        <v>104.9999942077914</v>
      </c>
    </row>
    <row r="36" spans="1:4" x14ac:dyDescent="0.25">
      <c r="A36" t="s">
        <v>15</v>
      </c>
      <c r="B36">
        <f>B35-B32</f>
        <v>85.357742933826515</v>
      </c>
    </row>
    <row r="37" spans="1:4" x14ac:dyDescent="0.25">
      <c r="A37" t="s">
        <v>16</v>
      </c>
      <c r="B37">
        <f>B11</f>
        <v>60.058939096267196</v>
      </c>
    </row>
    <row r="39" spans="1:4" x14ac:dyDescent="0.25">
      <c r="A39" t="s">
        <v>47</v>
      </c>
      <c r="B39">
        <f>B36-B28</f>
        <v>85.357742933826515</v>
      </c>
    </row>
    <row r="40" spans="1:4" x14ac:dyDescent="0.25">
      <c r="A40" t="s">
        <v>48</v>
      </c>
      <c r="B40">
        <f>B8</f>
        <v>60.058939096267196</v>
      </c>
    </row>
    <row r="42" spans="1:4" x14ac:dyDescent="0.25">
      <c r="A42" s="3" t="s">
        <v>18</v>
      </c>
      <c r="B42" s="3"/>
      <c r="C42" s="3"/>
    </row>
    <row r="43" spans="1:4" x14ac:dyDescent="0.25">
      <c r="A43" t="s">
        <v>41</v>
      </c>
      <c r="B43" s="2">
        <v>4.18</v>
      </c>
    </row>
    <row r="44" spans="1:4" x14ac:dyDescent="0.25">
      <c r="A44" t="s">
        <v>42</v>
      </c>
      <c r="B44" s="2">
        <v>4.18</v>
      </c>
    </row>
    <row r="45" spans="1:4" x14ac:dyDescent="0.25">
      <c r="A45" t="s">
        <v>43</v>
      </c>
      <c r="B45" s="2">
        <v>4.18</v>
      </c>
    </row>
    <row r="47" spans="1:4" x14ac:dyDescent="0.25">
      <c r="A47" t="s">
        <v>19</v>
      </c>
      <c r="B47">
        <f>IF(D47=D48,C47,_xlfn.FORECAST.LINEAR(B39,C47:C48,D47:D48))</f>
        <v>2652.4866984114756</v>
      </c>
      <c r="C47" s="7">
        <f>INDEX('STEAM TABLE'!$F$2:$F$50,MATCH(forward2!D47,'STEAM TABLE'!$A$2:$A$50))</f>
        <v>2651.9</v>
      </c>
      <c r="D47" s="7">
        <f>IF(ISERROR(VLOOKUP(B39,'STEAM TABLE'!A2:A50,1,FALSE)),_xlfn.MAXIFS('STEAM TABLE'!A2:A50,'STEAM TABLE'!B2:B50,"&lt;"&amp;forward2!B39),forward2!B39)</f>
        <v>85</v>
      </c>
    </row>
    <row r="48" spans="1:4" x14ac:dyDescent="0.25">
      <c r="C48" s="7">
        <f>INDEX('STEAM TABLE'!$F$2:$F$50,MATCH(forward2!D48,'STEAM TABLE'!$A$2:$A$50))</f>
        <v>2660.1</v>
      </c>
      <c r="D48" s="7">
        <f>IF(ISERROR(VLOOKUP(B39,'STEAM TABLE'!A2:A50,1,FALSE)),_xlfn.MINIFS('STEAM TABLE'!A2:A50,'STEAM TABLE'!B2:B50,"&gt;"&amp;forward2!B39),forward2!B39)</f>
        <v>90</v>
      </c>
    </row>
    <row r="49" spans="1:5" x14ac:dyDescent="0.25">
      <c r="A49" t="s">
        <v>21</v>
      </c>
      <c r="B49">
        <f>IF(D49=D50,C49,_xlfn.FORECAST.LINEAR(B40,C49:C50,D49:D50))</f>
        <v>2609.7025540275044</v>
      </c>
      <c r="C49" s="7">
        <f>INDEX('STEAM TABLE'!$F$2:$F$50,MATCH(forward2!D49,'STEAM TABLE'!$A$2:$A$50))</f>
        <v>2609.6</v>
      </c>
      <c r="D49" s="7">
        <f>IF(ISERROR(VLOOKUP(B40,'STEAM TABLE'!A2:A50,1,FALSE)),_xlfn.MAXIFS('STEAM TABLE'!A2:A50,'STEAM TABLE'!B2:B50,"&lt;"&amp;forward2!B40),forward2!B40)</f>
        <v>60</v>
      </c>
    </row>
    <row r="50" spans="1:5" x14ac:dyDescent="0.25">
      <c r="C50" s="7">
        <f>INDEX('STEAM TABLE'!$F$2:$F$50,MATCH(forward2!D50,'STEAM TABLE'!$A$2:$A$50))</f>
        <v>2618.3000000000002</v>
      </c>
      <c r="D50" s="7">
        <f>IF(ISERROR(VLOOKUP(B40,'STEAM TABLE'!A2:A50,1,FALSE)),_xlfn.MINIFS('STEAM TABLE'!A2:A50,'STEAM TABLE'!B2:B50,"&gt;"&amp;forward2!B40),forward2!B40)</f>
        <v>65</v>
      </c>
    </row>
    <row r="52" spans="1:5" x14ac:dyDescent="0.25">
      <c r="A52" t="s">
        <v>40</v>
      </c>
      <c r="B52" s="2">
        <v>1.8839999999999999</v>
      </c>
    </row>
    <row r="53" spans="1:5" x14ac:dyDescent="0.25">
      <c r="A53" t="s">
        <v>37</v>
      </c>
      <c r="B53">
        <f>B47+$B$52*B28</f>
        <v>2652.4866984114756</v>
      </c>
    </row>
    <row r="54" spans="1:5" x14ac:dyDescent="0.25">
      <c r="A54" t="s">
        <v>38</v>
      </c>
      <c r="B54">
        <f>B49+$B$52*B29</f>
        <v>2609.7025540275044</v>
      </c>
    </row>
    <row r="56" spans="1:5" x14ac:dyDescent="0.25">
      <c r="A56" s="5" t="s">
        <v>66</v>
      </c>
      <c r="B56">
        <f>IF(E56=E57,C56-D56,_xlfn.FORECAST.LINEAR(B35,C56:C57,E56:E57)-_xlfn.FORECAST.LINEAR(B35,D56:D57,E56:E57))</f>
        <v>2243.650015534703</v>
      </c>
      <c r="C56" s="7">
        <f>VLOOKUP(E56,'STEAM TABLE'!$A$2:$F$50,6,FALSE)</f>
        <v>2676.1</v>
      </c>
      <c r="D56" s="7">
        <f>VLOOKUP(E56,'STEAM TABLE'!$A$2:$F$50,5,FALSE)</f>
        <v>419.04</v>
      </c>
      <c r="E56" s="7">
        <f>IF(ISERROR(VLOOKUP(B35,'STEAM TABLE'!A2:A50,1,FALSE)),_xlfn.MAXIFS('STEAM TABLE'!A2:A50,'STEAM TABLE'!B2:B50,"&lt;"&amp;forward2!B35),forward2!B35)</f>
        <v>100</v>
      </c>
    </row>
    <row r="57" spans="1:5" x14ac:dyDescent="0.25">
      <c r="C57" s="7">
        <f>VLOOKUP(E57,'STEAM TABLE'!$A$2:$F$50,6,FALSE)</f>
        <v>2683.8</v>
      </c>
      <c r="D57" s="7">
        <f>VLOOKUP(E57,'STEAM TABLE'!$A$2:$F$50,5,FALSE)</f>
        <v>440.15</v>
      </c>
      <c r="E57" s="7">
        <f>IF(ISERROR(VLOOKUP(B35,'STEAM TABLE'!A2:A50,1,FALSE)),_xlfn.MINIFS('STEAM TABLE'!A2:A50,'STEAM TABLE'!B2:B50,"&gt;"&amp;forward2!B35),forward2!B35)</f>
        <v>105</v>
      </c>
    </row>
    <row r="58" spans="1:5" x14ac:dyDescent="0.25">
      <c r="A58" s="5" t="s">
        <v>67</v>
      </c>
      <c r="B58">
        <f>IF(D58=D59,B47-C58,B47-_xlfn.FORECAST.LINEAR(B39,C58:C59,D58:D59))</f>
        <v>2295.082747117669</v>
      </c>
      <c r="C58" s="7">
        <f>VLOOKUP(D58,'STEAM TABLE'!$A$2:$F$50,5,FALSE)</f>
        <v>355.9</v>
      </c>
      <c r="D58" s="7">
        <f>IF(ISERROR(VLOOKUP(B39,'STEAM TABLE'!A2:A50,1,FALSE)),_xlfn.MAXIFS('STEAM TABLE'!A2:A50,'STEAM TABLE'!B2:B50,"&lt;"&amp;forward2!B39),forward2!B39)</f>
        <v>85</v>
      </c>
    </row>
    <row r="59" spans="1:5" x14ac:dyDescent="0.25">
      <c r="C59" s="7">
        <f>VLOOKUP(D59,'STEAM TABLE'!$A$2:$F$50,5,FALSE)</f>
        <v>376.92</v>
      </c>
      <c r="D59" s="7">
        <f>IF(ISERROR(VLOOKUP(B39,'STEAM TABLE'!A2:A50,1,FALSE)),_xlfn.MINIFS('STEAM TABLE'!A2:A50,'STEAM TABLE'!B2:B50,"&gt;"&amp;forward2!B39),forward2!B39)</f>
        <v>90</v>
      </c>
    </row>
    <row r="61" spans="1:5" x14ac:dyDescent="0.25">
      <c r="A61" t="s">
        <v>6</v>
      </c>
      <c r="B61">
        <f>(B19*B45*B37+B20*B54-B20*B58)/(B44*B36)</f>
        <v>493.44025424701346</v>
      </c>
    </row>
    <row r="62" spans="1:5" x14ac:dyDescent="0.25">
      <c r="A62" t="s">
        <v>22</v>
      </c>
      <c r="B62">
        <f>(B61*B44*B36+B20*B53-B14*B43*B15)/B56</f>
        <v>402.31402801826255</v>
      </c>
    </row>
    <row r="63" spans="1:5" x14ac:dyDescent="0.25">
      <c r="A63" t="s">
        <v>23</v>
      </c>
      <c r="B63">
        <f>B14-B61</f>
        <v>506.55974575298654</v>
      </c>
    </row>
    <row r="64" spans="1:5" x14ac:dyDescent="0.25">
      <c r="A64" t="s">
        <v>24</v>
      </c>
      <c r="B64">
        <f>B61-B19</f>
        <v>293.44025424701346</v>
      </c>
    </row>
    <row r="66" spans="1:4" x14ac:dyDescent="0.25">
      <c r="A66" s="3" t="s">
        <v>26</v>
      </c>
      <c r="B66" s="3"/>
      <c r="C66" s="3"/>
    </row>
    <row r="67" spans="1:4" x14ac:dyDescent="0.25">
      <c r="A67" t="s">
        <v>51</v>
      </c>
      <c r="B67" s="2">
        <v>2000</v>
      </c>
    </row>
    <row r="68" spans="1:4" x14ac:dyDescent="0.25">
      <c r="A68" t="s">
        <v>52</v>
      </c>
      <c r="B68" s="2">
        <v>2000</v>
      </c>
    </row>
    <row r="70" spans="1:4" x14ac:dyDescent="0.25">
      <c r="A70" t="s">
        <v>27</v>
      </c>
      <c r="B70">
        <f>B62*B56</f>
        <v>902651.87521300372</v>
      </c>
    </row>
    <row r="71" spans="1:4" x14ac:dyDescent="0.25">
      <c r="A71" t="s">
        <v>28</v>
      </c>
      <c r="B71">
        <f>B63*B58</f>
        <v>1162596.5328619923</v>
      </c>
    </row>
    <row r="73" spans="1:4" x14ac:dyDescent="0.25">
      <c r="A73" t="s">
        <v>30</v>
      </c>
      <c r="B73">
        <f>B70/(B67*B32)</f>
        <v>22.977301904528552</v>
      </c>
    </row>
    <row r="74" spans="1:4" x14ac:dyDescent="0.25">
      <c r="A74" t="s">
        <v>31</v>
      </c>
      <c r="B74">
        <f>B71/(B68*B33)</f>
        <v>22.977302411744237</v>
      </c>
    </row>
    <row r="76" spans="1:4" x14ac:dyDescent="0.25">
      <c r="A76" t="s">
        <v>77</v>
      </c>
      <c r="B76">
        <f>B73/B74</f>
        <v>0.99999997792535977</v>
      </c>
      <c r="D76" t="s">
        <v>33</v>
      </c>
    </row>
    <row r="77" spans="1:4" x14ac:dyDescent="0.25">
      <c r="B77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23124-C79A-4B21-9400-48EF5200F39E}">
  <sheetPr codeName="Sheet4"/>
  <dimension ref="A1:E83"/>
  <sheetViews>
    <sheetView topLeftCell="A76" workbookViewId="0">
      <selection activeCell="A83" sqref="A83"/>
    </sheetView>
  </sheetViews>
  <sheetFormatPr defaultRowHeight="15" x14ac:dyDescent="0.25"/>
  <cols>
    <col min="1" max="1" width="28.7109375" bestFit="1" customWidth="1"/>
    <col min="2" max="2" width="12" bestFit="1" customWidth="1"/>
  </cols>
  <sheetData>
    <row r="1" spans="1:4" x14ac:dyDescent="0.25">
      <c r="A1" t="s">
        <v>70</v>
      </c>
    </row>
    <row r="2" spans="1:4" x14ac:dyDescent="0.25">
      <c r="A2" s="2" t="s">
        <v>59</v>
      </c>
      <c r="B2" s="2"/>
      <c r="C2" s="2"/>
    </row>
    <row r="3" spans="1:4" x14ac:dyDescent="0.25">
      <c r="A3" t="s">
        <v>35</v>
      </c>
      <c r="C3">
        <v>3</v>
      </c>
    </row>
    <row r="5" spans="1:4" x14ac:dyDescent="0.25">
      <c r="A5" s="3" t="s">
        <v>0</v>
      </c>
      <c r="B5" s="3"/>
      <c r="C5" s="3"/>
    </row>
    <row r="6" spans="1:4" x14ac:dyDescent="0.25">
      <c r="A6" t="s">
        <v>1</v>
      </c>
      <c r="B6" s="2">
        <v>20</v>
      </c>
    </row>
    <row r="7" spans="1:4" x14ac:dyDescent="0.25">
      <c r="A7" t="str">
        <f>"x"&amp;C3</f>
        <v>x3</v>
      </c>
      <c r="B7" s="2">
        <v>0.1</v>
      </c>
    </row>
    <row r="8" spans="1:4" x14ac:dyDescent="0.25">
      <c r="A8" t="s">
        <v>36</v>
      </c>
      <c r="B8">
        <f>_xlfn.FORECAST.LINEAR(B6,D8:D9,C8:C9)</f>
        <v>60.058939096267196</v>
      </c>
      <c r="C8" s="4">
        <f>_xlfn.MAXIFS('STEAM TABLE'!C2:C50,'STEAM TABLE'!D2:D50,"&lt;"&amp;backward3!B6)</f>
        <v>19.940000000000001</v>
      </c>
      <c r="D8" s="4">
        <f>INDEX('STEAM TABLE'!$A$2:$A$50,MATCH(backward3!C8,'STEAM TABLE'!$C$2:$C$50))</f>
        <v>60</v>
      </c>
    </row>
    <row r="9" spans="1:4" x14ac:dyDescent="0.25">
      <c r="C9" s="4">
        <f>_xlfn.MINIFS('STEAM TABLE'!C2:C50,'STEAM TABLE'!D2:D50,"&gt;"&amp;backward3!B6)</f>
        <v>25.03</v>
      </c>
      <c r="D9" s="4">
        <f>INDEX('STEAM TABLE'!$A$2:$A$50,MATCH(backward3!C9,'STEAM TABLE'!$C$2:$C$50))</f>
        <v>65</v>
      </c>
    </row>
    <row r="10" spans="1:4" x14ac:dyDescent="0.25">
      <c r="A10" t="s">
        <v>73</v>
      </c>
      <c r="B10" s="2"/>
    </row>
    <row r="11" spans="1:4" x14ac:dyDescent="0.25">
      <c r="A11" t="str">
        <f>"T"&amp;C3</f>
        <v>T3</v>
      </c>
      <c r="B11">
        <f>B8+B10</f>
        <v>60.058939096267196</v>
      </c>
    </row>
    <row r="13" spans="1:4" x14ac:dyDescent="0.25">
      <c r="A13" s="3" t="s">
        <v>61</v>
      </c>
      <c r="B13" s="3"/>
      <c r="C13" s="3"/>
    </row>
    <row r="14" spans="1:4" x14ac:dyDescent="0.25">
      <c r="A14" t="s">
        <v>3</v>
      </c>
      <c r="B14" s="2">
        <v>1000</v>
      </c>
    </row>
    <row r="15" spans="1:4" x14ac:dyDescent="0.25">
      <c r="A15" t="s">
        <v>50</v>
      </c>
      <c r="B15" s="2">
        <v>75</v>
      </c>
    </row>
    <row r="16" spans="1:4" x14ac:dyDescent="0.25">
      <c r="A16" t="s">
        <v>8</v>
      </c>
      <c r="B16" s="2">
        <v>0.5</v>
      </c>
    </row>
    <row r="17" spans="1:3" x14ac:dyDescent="0.25">
      <c r="A17" t="s">
        <v>4</v>
      </c>
      <c r="B17" s="2">
        <f>B7</f>
        <v>0.1</v>
      </c>
    </row>
    <row r="18" spans="1:3" x14ac:dyDescent="0.25">
      <c r="A18" t="s">
        <v>34</v>
      </c>
    </row>
    <row r="19" spans="1:3" x14ac:dyDescent="0.25">
      <c r="A19" t="s">
        <v>6</v>
      </c>
      <c r="B19">
        <f>B14*B17/B16</f>
        <v>200</v>
      </c>
    </row>
    <row r="20" spans="1:3" x14ac:dyDescent="0.25">
      <c r="A20" t="s">
        <v>60</v>
      </c>
      <c r="B20">
        <f>(B14-B19)/C3</f>
        <v>266.66666666666669</v>
      </c>
    </row>
    <row r="21" spans="1:3" x14ac:dyDescent="0.25">
      <c r="A21" t="s">
        <v>5</v>
      </c>
      <c r="B21">
        <f>B14-B20</f>
        <v>733.33333333333326</v>
      </c>
    </row>
    <row r="22" spans="1:3" x14ac:dyDescent="0.25">
      <c r="A22" t="s">
        <v>7</v>
      </c>
      <c r="B22">
        <f>B21-B20</f>
        <v>466.66666666666657</v>
      </c>
    </row>
    <row r="23" spans="1:3" x14ac:dyDescent="0.25">
      <c r="A23" t="s">
        <v>6</v>
      </c>
      <c r="B23">
        <f>B22-B20</f>
        <v>199.99999999999989</v>
      </c>
    </row>
    <row r="24" spans="1:3" x14ac:dyDescent="0.25">
      <c r="A24" t="s">
        <v>2</v>
      </c>
      <c r="B24">
        <f>B14*B17/B21</f>
        <v>0.13636363636363638</v>
      </c>
    </row>
    <row r="25" spans="1:3" x14ac:dyDescent="0.25">
      <c r="A25" t="s">
        <v>9</v>
      </c>
      <c r="B25">
        <f>B21*B24/B22</f>
        <v>0.21428571428571433</v>
      </c>
    </row>
    <row r="26" spans="1:3" x14ac:dyDescent="0.25">
      <c r="A26" t="s">
        <v>8</v>
      </c>
      <c r="B26">
        <f>B22*B25/B23</f>
        <v>0.50000000000000033</v>
      </c>
    </row>
    <row r="28" spans="1:3" x14ac:dyDescent="0.25">
      <c r="A28" s="3" t="s">
        <v>10</v>
      </c>
      <c r="B28" s="3"/>
      <c r="C28" s="3"/>
    </row>
    <row r="29" spans="1:3" x14ac:dyDescent="0.25">
      <c r="A29" t="s">
        <v>11</v>
      </c>
      <c r="B29" s="2"/>
    </row>
    <row r="30" spans="1:3" x14ac:dyDescent="0.25">
      <c r="A30" t="s">
        <v>12</v>
      </c>
      <c r="B30" s="2"/>
    </row>
    <row r="31" spans="1:3" x14ac:dyDescent="0.25">
      <c r="A31" t="s">
        <v>13</v>
      </c>
      <c r="B31" s="2"/>
    </row>
    <row r="32" spans="1:3" x14ac:dyDescent="0.25">
      <c r="A32" t="s">
        <v>62</v>
      </c>
      <c r="B32">
        <f>B36-B8-(B29+B30+B31)</f>
        <v>44.941060903732804</v>
      </c>
    </row>
    <row r="33" spans="1:3" x14ac:dyDescent="0.25">
      <c r="A33" s="5" t="s">
        <v>63</v>
      </c>
      <c r="B33" s="2">
        <v>80.329478038502643</v>
      </c>
      <c r="C33" t="s">
        <v>33</v>
      </c>
    </row>
    <row r="34" spans="1:3" x14ac:dyDescent="0.25">
      <c r="A34" s="5" t="s">
        <v>64</v>
      </c>
      <c r="B34">
        <v>41.705141724325976</v>
      </c>
    </row>
    <row r="35" spans="1:3" x14ac:dyDescent="0.25">
      <c r="A35" s="5" t="s">
        <v>65</v>
      </c>
      <c r="B35" s="2">
        <v>49.941039411209864</v>
      </c>
    </row>
    <row r="36" spans="1:3" x14ac:dyDescent="0.25">
      <c r="A36" t="s">
        <v>14</v>
      </c>
      <c r="B36" s="2">
        <v>105</v>
      </c>
    </row>
    <row r="37" spans="1:3" x14ac:dyDescent="0.25">
      <c r="A37" t="s">
        <v>15</v>
      </c>
      <c r="B37">
        <f>B36-B33</f>
        <v>24.670521961497357</v>
      </c>
    </row>
    <row r="38" spans="1:3" x14ac:dyDescent="0.25">
      <c r="A38" t="s">
        <v>16</v>
      </c>
      <c r="B38">
        <f>B41+B30</f>
        <v>109.99997850747707</v>
      </c>
    </row>
    <row r="39" spans="1:3" x14ac:dyDescent="0.25">
      <c r="A39" t="s">
        <v>17</v>
      </c>
      <c r="B39">
        <f>B11</f>
        <v>60.058939096267196</v>
      </c>
    </row>
    <row r="40" spans="1:3" x14ac:dyDescent="0.25">
      <c r="A40" t="s">
        <v>47</v>
      </c>
      <c r="B40">
        <f>B37-B29</f>
        <v>24.670521961497357</v>
      </c>
    </row>
    <row r="41" spans="1:3" x14ac:dyDescent="0.25">
      <c r="A41" t="s">
        <v>48</v>
      </c>
      <c r="B41">
        <f>B39+B35</f>
        <v>109.99997850747707</v>
      </c>
    </row>
    <row r="42" spans="1:3" x14ac:dyDescent="0.25">
      <c r="A42" t="s">
        <v>49</v>
      </c>
      <c r="B42">
        <f>B8</f>
        <v>60.058939096267196</v>
      </c>
    </row>
    <row r="44" spans="1:3" x14ac:dyDescent="0.25">
      <c r="A44" s="3" t="s">
        <v>18</v>
      </c>
      <c r="B44" s="3"/>
      <c r="C44" s="3"/>
    </row>
    <row r="45" spans="1:3" x14ac:dyDescent="0.25">
      <c r="A45" t="s">
        <v>41</v>
      </c>
      <c r="B45" s="2">
        <v>4.18</v>
      </c>
    </row>
    <row r="46" spans="1:3" x14ac:dyDescent="0.25">
      <c r="A46" t="s">
        <v>42</v>
      </c>
      <c r="B46" s="2">
        <v>4.18</v>
      </c>
    </row>
    <row r="47" spans="1:3" x14ac:dyDescent="0.25">
      <c r="A47" t="s">
        <v>43</v>
      </c>
      <c r="B47" s="2">
        <v>4.18</v>
      </c>
    </row>
    <row r="48" spans="1:3" x14ac:dyDescent="0.25">
      <c r="A48" t="s">
        <v>44</v>
      </c>
      <c r="B48" s="2">
        <v>4.18</v>
      </c>
    </row>
    <row r="49" spans="1:5" x14ac:dyDescent="0.25">
      <c r="A49" t="s">
        <v>19</v>
      </c>
      <c r="B49">
        <f>IF(D49=D50,C49,_xlfn.FORECAST.LINEAR(B40,C49:C50,D49:D50))</f>
        <v>2546.6069395306954</v>
      </c>
      <c r="C49" s="4">
        <f>INDEX('STEAM TABLE'!$F$2:$F$50,MATCH(backward3!D49,'STEAM TABLE'!$A$2:$A$50))</f>
        <v>2545.4</v>
      </c>
      <c r="D49" s="4">
        <f>IF(ISERROR(VLOOKUP(B40,'STEAM TABLE'!A2:A50,1,FALSE)),_xlfn.MAXIFS('STEAM TABLE'!A2:A50,'STEAM TABLE'!B2:B50,"&lt;"&amp;backward3!B40),backward3!B40)</f>
        <v>24</v>
      </c>
    </row>
    <row r="50" spans="1:5" x14ac:dyDescent="0.25">
      <c r="C50" s="4">
        <f>INDEX('STEAM TABLE'!$F$2:$F$50,MATCH(backward3!D50,'STEAM TABLE'!$A$2:$A$50))</f>
        <v>2547.1999999999998</v>
      </c>
      <c r="D50" s="4">
        <f>IF(ISERROR(VLOOKUP(B40,'STEAM TABLE'!A2:A50,1,FALSE)),_xlfn.MINIFS('STEAM TABLE'!A2:A50,'STEAM TABLE'!B2:B50,"&gt;"&amp;backward3!B40),backward3!B40)</f>
        <v>25</v>
      </c>
    </row>
    <row r="51" spans="1:5" x14ac:dyDescent="0.25">
      <c r="A51" t="s">
        <v>21</v>
      </c>
      <c r="B51">
        <f>IF(D51=D52,C51,_xlfn.FORECAST.LINEAR(B41,C51:C52,D51:D52))</f>
        <v>2691.4999669015147</v>
      </c>
      <c r="C51" s="4">
        <f>INDEX('STEAM TABLE'!$F$2:$F$50,MATCH(backward3!D51,'STEAM TABLE'!$A$2:$A$50))</f>
        <v>2683.8</v>
      </c>
      <c r="D51" s="4">
        <f>IF(ISERROR(VLOOKUP(B41,'STEAM TABLE'!A2:A50,1,FALSE)),_xlfn.MAXIFS('STEAM TABLE'!A2:A50,'STEAM TABLE'!B2:B50,"&lt;"&amp;backward3!B41),backward3!B41)</f>
        <v>105</v>
      </c>
    </row>
    <row r="52" spans="1:5" x14ac:dyDescent="0.25">
      <c r="C52" s="4">
        <f>INDEX('STEAM TABLE'!$F$2:$F$50,MATCH(backward3!D52,'STEAM TABLE'!$A$2:$A$50))</f>
        <v>2691.5</v>
      </c>
      <c r="D52" s="4">
        <f>IF(ISERROR(VLOOKUP(B41,'STEAM TABLE'!A2:A50,1,FALSE)),_xlfn.MINIFS('STEAM TABLE'!A2:A50,'STEAM TABLE'!B2:B50,"&gt;"&amp;backward3!B41),backward3!B41)</f>
        <v>110</v>
      </c>
    </row>
    <row r="53" spans="1:5" x14ac:dyDescent="0.25">
      <c r="A53" t="s">
        <v>20</v>
      </c>
      <c r="B53">
        <f>IF(D53=D54,C53,_xlfn.FORECAST.LINEAR(B42,C53:C54,D53:D54))</f>
        <v>2609.7025540275044</v>
      </c>
      <c r="C53" s="4">
        <f>INDEX('STEAM TABLE'!$F$2:$F$50,MATCH(backward3!D53,'STEAM TABLE'!$A$2:$A$50))</f>
        <v>2609.6</v>
      </c>
      <c r="D53" s="4">
        <f>IF(ISERROR(VLOOKUP(B42,'STEAM TABLE'!A2:A50,1,FALSE)),_xlfn.MAXIFS('STEAM TABLE'!A2:A50,'STEAM TABLE'!B2:B50,"&lt;"&amp;backward3!B42),backward3!B42)</f>
        <v>60</v>
      </c>
    </row>
    <row r="54" spans="1:5" x14ac:dyDescent="0.25">
      <c r="C54" s="4">
        <f>INDEX('STEAM TABLE'!$F$2:$F$50,MATCH(backward3!D54,'STEAM TABLE'!$A$2:$A$50))</f>
        <v>2618.3000000000002</v>
      </c>
      <c r="D54" s="4">
        <f>IF(ISERROR(VLOOKUP(B42,'STEAM TABLE'!A2:A50,1,FALSE)),_xlfn.MINIFS('STEAM TABLE'!A2:A50,'STEAM TABLE'!B2:B50,"&gt;"&amp;backward3!B42),backward3!B42)</f>
        <v>65</v>
      </c>
    </row>
    <row r="55" spans="1:5" x14ac:dyDescent="0.25">
      <c r="A55" t="s">
        <v>40</v>
      </c>
      <c r="B55" s="2">
        <v>1.8839999999999999</v>
      </c>
    </row>
    <row r="56" spans="1:5" x14ac:dyDescent="0.25">
      <c r="A56" t="s">
        <v>37</v>
      </c>
      <c r="B56">
        <f>B49+$B$55*B29</f>
        <v>2546.6069395306954</v>
      </c>
    </row>
    <row r="57" spans="1:5" x14ac:dyDescent="0.25">
      <c r="A57" t="s">
        <v>38</v>
      </c>
      <c r="B57">
        <f>B51+$B$55*B30</f>
        <v>2691.4999669015147</v>
      </c>
    </row>
    <row r="58" spans="1:5" x14ac:dyDescent="0.25">
      <c r="A58" t="s">
        <v>39</v>
      </c>
      <c r="B58">
        <f>B53+$B$55*B31</f>
        <v>2609.7025540275044</v>
      </c>
    </row>
    <row r="59" spans="1:5" x14ac:dyDescent="0.25">
      <c r="A59" s="5" t="s">
        <v>66</v>
      </c>
      <c r="B59">
        <f>IF(E59=E60,C59-D59,_xlfn.FORECAST.LINEAR(B36,C59:C60,E59:E60)-_xlfn.FORECAST.LINEAR(B36,D59:D60,E59:E60))</f>
        <v>2243.65</v>
      </c>
      <c r="C59" s="4">
        <f>VLOOKUP(E59,'STEAM TABLE'!$A$2:$F$50,6,FALSE)</f>
        <v>2683.8</v>
      </c>
      <c r="D59" s="4">
        <f>VLOOKUP(E59,'STEAM TABLE'!$A$2:$F$50,5,FALSE)</f>
        <v>440.15</v>
      </c>
      <c r="E59" s="4">
        <f>IF(ISERROR(VLOOKUP(B36,'STEAM TABLE'!A2:A50,1,FALSE)),_xlfn.MAXIFS('STEAM TABLE'!A2:A50,'STEAM TABLE'!B2:B50,"&lt;"&amp;backward3!B36),backward3!B36)</f>
        <v>105</v>
      </c>
    </row>
    <row r="60" spans="1:5" x14ac:dyDescent="0.25">
      <c r="C60" s="4">
        <f>VLOOKUP(E60,'STEAM TABLE'!$A$2:$F$50,6,FALSE)</f>
        <v>2683.8</v>
      </c>
      <c r="D60" s="4">
        <f>VLOOKUP(E60,'STEAM TABLE'!$A$2:$F$50,5,FALSE)</f>
        <v>440.15</v>
      </c>
      <c r="E60" s="4">
        <f>IF(ISERROR(VLOOKUP(B36,'STEAM TABLE'!A2:A50,1,FALSE)),_xlfn.MINIFS('STEAM TABLE'!A2:A50,'STEAM TABLE'!B2:B50,"&gt;"&amp;backward3!B36),backward3!B36)</f>
        <v>105</v>
      </c>
    </row>
    <row r="61" spans="1:5" x14ac:dyDescent="0.25">
      <c r="A61" s="5" t="s">
        <v>67</v>
      </c>
      <c r="B61">
        <f>IF(D61=D62,B49-C61,B49-_xlfn.FORECAST.LINEAR(B40,C61:C62,D61:D62))</f>
        <v>2443.0974525120214</v>
      </c>
      <c r="C61" s="4">
        <f>VLOOKUP(D61,'STEAM TABLE'!$A$2:$F$50,5,FALSE)</f>
        <v>100.7</v>
      </c>
      <c r="D61" s="4">
        <f>IF(ISERROR(VLOOKUP(B40,'STEAM TABLE'!A2:A50,1,FALSE)),_xlfn.MAXIFS('STEAM TABLE'!A2:A50,'STEAM TABLE'!B2:B50,"&lt;"&amp;backward3!B40),backward3!B40)</f>
        <v>24</v>
      </c>
    </row>
    <row r="62" spans="1:5" x14ac:dyDescent="0.25">
      <c r="C62" s="4">
        <f>VLOOKUP(D62,'STEAM TABLE'!$A$2:$F$50,5,FALSE)</f>
        <v>104.89</v>
      </c>
      <c r="D62" s="4">
        <f>IF(ISERROR(VLOOKUP(B40,'STEAM TABLE'!A2:A50,1,FALSE)),_xlfn.MINIFS('STEAM TABLE'!A2:A50,'STEAM TABLE'!B2:B50,"&gt;"&amp;backward3!B40),backward3!B40)</f>
        <v>25</v>
      </c>
    </row>
    <row r="63" spans="1:5" x14ac:dyDescent="0.25">
      <c r="A63" s="5" t="s">
        <v>68</v>
      </c>
      <c r="B63">
        <f>IF(D63=D64,B51-C63,B51-_xlfn.FORECAST.LINEAR(B41,C63:C64,D63:D64))</f>
        <v>2230.2000578148868</v>
      </c>
      <c r="C63" s="4">
        <f>VLOOKUP(D63,'STEAM TABLE'!$A$2:$F$50,5,FALSE)</f>
        <v>440.15</v>
      </c>
      <c r="D63" s="4">
        <f>IF(ISERROR(VLOOKUP(B41,'STEAM TABLE'!A2:A50,1,FALSE)),_xlfn.MAXIFS('STEAM TABLE'!A2:A50,'STEAM TABLE'!B2:B50,"&lt;"&amp;backward3!B41),backward3!B41)</f>
        <v>105</v>
      </c>
    </row>
    <row r="64" spans="1:5" x14ac:dyDescent="0.25">
      <c r="C64" s="4">
        <f>VLOOKUP(D64,'STEAM TABLE'!$A$2:$F$50,5,FALSE)</f>
        <v>461.3</v>
      </c>
      <c r="D64" s="4">
        <f>IF(ISERROR(VLOOKUP(B41,'STEAM TABLE'!A2:A50,1,FALSE)),_xlfn.MINIFS('STEAM TABLE'!A2:A50,'STEAM TABLE'!B2:B50,"&gt;"&amp;backward3!B41),backward3!B41)</f>
        <v>110</v>
      </c>
    </row>
    <row r="65" spans="1:3" x14ac:dyDescent="0.25">
      <c r="A65" t="s">
        <v>5</v>
      </c>
      <c r="B65">
        <f>(B14*B45*B15+B20*B63-B20*B58)/(B48*B39)</f>
        <v>845.65786876101038</v>
      </c>
    </row>
    <row r="66" spans="1:3" x14ac:dyDescent="0.25">
      <c r="A66" t="s">
        <v>7</v>
      </c>
      <c r="B66">
        <f>(B65*B48*B39+B20*B61-B20*B57)/(B47*B38)</f>
        <v>317.65700821518988</v>
      </c>
    </row>
    <row r="67" spans="1:3" x14ac:dyDescent="0.25">
      <c r="A67" t="s">
        <v>22</v>
      </c>
      <c r="B67">
        <f>(B19*B46*B37+B20*B56-B66*B47*B38)/B59</f>
        <v>246.76802370923579</v>
      </c>
    </row>
    <row r="68" spans="1:3" x14ac:dyDescent="0.25">
      <c r="A68" t="s">
        <v>25</v>
      </c>
      <c r="B68">
        <f>B14-B65</f>
        <v>154.34213123898962</v>
      </c>
    </row>
    <row r="69" spans="1:3" x14ac:dyDescent="0.25">
      <c r="A69" t="s">
        <v>24</v>
      </c>
      <c r="B69">
        <f>B65-B66</f>
        <v>528.0008605458205</v>
      </c>
    </row>
    <row r="70" spans="1:3" x14ac:dyDescent="0.25">
      <c r="A70" t="s">
        <v>23</v>
      </c>
      <c r="B70">
        <f>B66-B23</f>
        <v>117.65700821518999</v>
      </c>
    </row>
    <row r="71" spans="1:3" x14ac:dyDescent="0.25">
      <c r="B71" t="s">
        <v>33</v>
      </c>
    </row>
    <row r="72" spans="1:3" x14ac:dyDescent="0.25">
      <c r="A72" s="3" t="s">
        <v>26</v>
      </c>
      <c r="B72" s="3"/>
      <c r="C72" s="3"/>
    </row>
    <row r="73" spans="1:3" x14ac:dyDescent="0.25">
      <c r="A73" t="s">
        <v>51</v>
      </c>
      <c r="B73" s="2">
        <v>2000</v>
      </c>
    </row>
    <row r="74" spans="1:3" x14ac:dyDescent="0.25">
      <c r="A74" t="s">
        <v>52</v>
      </c>
      <c r="B74" s="2">
        <v>2000</v>
      </c>
    </row>
    <row r="75" spans="1:3" x14ac:dyDescent="0.25">
      <c r="A75" t="s">
        <v>53</v>
      </c>
      <c r="B75" s="2">
        <v>2000</v>
      </c>
    </row>
    <row r="76" spans="1:3" x14ac:dyDescent="0.25">
      <c r="A76" t="s">
        <v>27</v>
      </c>
      <c r="B76">
        <f>B67*B59</f>
        <v>553661.07639522688</v>
      </c>
    </row>
    <row r="77" spans="1:3" x14ac:dyDescent="0.25">
      <c r="A77" t="s">
        <v>28</v>
      </c>
      <c r="B77">
        <f>B70*B61</f>
        <v>287447.53704071662</v>
      </c>
    </row>
    <row r="78" spans="1:3" x14ac:dyDescent="0.25">
      <c r="A78" t="s">
        <v>29</v>
      </c>
      <c r="B78">
        <f>B68*B63</f>
        <v>344213.83001246752</v>
      </c>
    </row>
    <row r="79" spans="1:3" x14ac:dyDescent="0.25">
      <c r="A79" t="s">
        <v>30</v>
      </c>
      <c r="B79">
        <f>B76/(B73*B33)</f>
        <v>3.446188683871767</v>
      </c>
    </row>
    <row r="80" spans="1:3" x14ac:dyDescent="0.25">
      <c r="A80" t="s">
        <v>31</v>
      </c>
      <c r="B80">
        <f t="shared" ref="B80:B81" si="0">B77/(B74*B34)</f>
        <v>3.4461882295085551</v>
      </c>
    </row>
    <row r="81" spans="1:4" x14ac:dyDescent="0.25">
      <c r="A81" t="s">
        <v>32</v>
      </c>
      <c r="B81">
        <f t="shared" si="0"/>
        <v>3.4462021022254152</v>
      </c>
    </row>
    <row r="82" spans="1:4" x14ac:dyDescent="0.25">
      <c r="A82" t="s">
        <v>74</v>
      </c>
      <c r="B82">
        <f>_xlfn.VAR.P(B79:B81)</f>
        <v>4.1412325959859814E-11</v>
      </c>
      <c r="D82" t="s">
        <v>33</v>
      </c>
    </row>
    <row r="83" spans="1:4" x14ac:dyDescent="0.25">
      <c r="B83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BE841-EB09-45F1-A5D5-D0244C0D79BB}">
  <sheetPr codeName="Sheet5"/>
  <dimension ref="A1:E77"/>
  <sheetViews>
    <sheetView topLeftCell="A64" workbookViewId="0">
      <selection activeCell="A77" sqref="A77"/>
    </sheetView>
  </sheetViews>
  <sheetFormatPr defaultRowHeight="15" x14ac:dyDescent="0.25"/>
  <cols>
    <col min="1" max="1" width="28.28515625" bestFit="1" customWidth="1"/>
  </cols>
  <sheetData>
    <row r="1" spans="1:4" x14ac:dyDescent="0.25">
      <c r="A1" t="s">
        <v>71</v>
      </c>
    </row>
    <row r="2" spans="1:4" x14ac:dyDescent="0.25">
      <c r="A2" s="2" t="s">
        <v>59</v>
      </c>
      <c r="B2" s="2"/>
      <c r="C2" s="2"/>
    </row>
    <row r="3" spans="1:4" x14ac:dyDescent="0.25">
      <c r="A3" t="s">
        <v>35</v>
      </c>
      <c r="C3">
        <v>2</v>
      </c>
    </row>
    <row r="5" spans="1:4" x14ac:dyDescent="0.25">
      <c r="A5" s="3" t="s">
        <v>0</v>
      </c>
      <c r="B5" s="3"/>
      <c r="C5" s="3"/>
    </row>
    <row r="6" spans="1:4" x14ac:dyDescent="0.25">
      <c r="A6" t="s">
        <v>57</v>
      </c>
      <c r="B6" s="2">
        <v>20</v>
      </c>
    </row>
    <row r="7" spans="1:4" x14ac:dyDescent="0.25">
      <c r="A7" t="str">
        <f>"x"&amp;C3</f>
        <v>x2</v>
      </c>
      <c r="B7" s="2">
        <v>0.1</v>
      </c>
    </row>
    <row r="8" spans="1:4" x14ac:dyDescent="0.25">
      <c r="A8" t="s">
        <v>56</v>
      </c>
      <c r="B8">
        <f>_xlfn.FORECAST.LINEAR(B6,D8:D9,C8:C9)</f>
        <v>60.058939096267196</v>
      </c>
      <c r="C8" s="7">
        <f>_xlfn.MAXIFS('STEAM TABLE'!C2:C50,'STEAM TABLE'!D2:D50,"&lt;"&amp;backward2!B6)</f>
        <v>19.940000000000001</v>
      </c>
      <c r="D8" s="7">
        <f>INDEX('STEAM TABLE'!$A$2:$A$50,MATCH(backward2!C8,'STEAM TABLE'!$C$2:$C$50))</f>
        <v>60</v>
      </c>
    </row>
    <row r="9" spans="1:4" x14ac:dyDescent="0.25">
      <c r="C9" s="7">
        <f>_xlfn.MINIFS('STEAM TABLE'!C2:C50,'STEAM TABLE'!D2:D50,"&gt;"&amp;backward2!B6)</f>
        <v>25.03</v>
      </c>
      <c r="D9" s="7">
        <f>INDEX('STEAM TABLE'!$A$2:$A$50,MATCH(backward2!C9,'STEAM TABLE'!$C$2:$C$50))</f>
        <v>65</v>
      </c>
    </row>
    <row r="10" spans="1:4" x14ac:dyDescent="0.25">
      <c r="A10" t="s">
        <v>72</v>
      </c>
      <c r="B10" s="2"/>
    </row>
    <row r="11" spans="1:4" x14ac:dyDescent="0.25">
      <c r="A11" t="str">
        <f>"T"&amp;C3</f>
        <v>T2</v>
      </c>
      <c r="B11">
        <f>B8+B10</f>
        <v>60.058939096267196</v>
      </c>
    </row>
    <row r="13" spans="1:4" x14ac:dyDescent="0.25">
      <c r="A13" s="3" t="s">
        <v>61</v>
      </c>
      <c r="B13" s="3"/>
      <c r="C13" s="3"/>
    </row>
    <row r="14" spans="1:4" x14ac:dyDescent="0.25">
      <c r="A14" t="s">
        <v>3</v>
      </c>
      <c r="B14" s="2">
        <v>1000</v>
      </c>
    </row>
    <row r="15" spans="1:4" x14ac:dyDescent="0.25">
      <c r="A15" t="s">
        <v>50</v>
      </c>
      <c r="B15" s="2">
        <v>80</v>
      </c>
    </row>
    <row r="16" spans="1:4" x14ac:dyDescent="0.25">
      <c r="A16" t="str">
        <f>"x"&amp;C3</f>
        <v>x2</v>
      </c>
      <c r="B16" s="2">
        <v>0.5</v>
      </c>
    </row>
    <row r="17" spans="1:3" x14ac:dyDescent="0.25">
      <c r="A17" t="s">
        <v>4</v>
      </c>
      <c r="B17" s="2">
        <v>0.1</v>
      </c>
    </row>
    <row r="18" spans="1:3" x14ac:dyDescent="0.25">
      <c r="A18" t="s">
        <v>34</v>
      </c>
    </row>
    <row r="19" spans="1:3" x14ac:dyDescent="0.25">
      <c r="A19" t="s">
        <v>6</v>
      </c>
      <c r="B19">
        <f>B14*B17/B16</f>
        <v>200</v>
      </c>
    </row>
    <row r="20" spans="1:3" x14ac:dyDescent="0.25">
      <c r="A20" t="s">
        <v>60</v>
      </c>
      <c r="B20">
        <f>(B14-B19)/C3</f>
        <v>400</v>
      </c>
    </row>
    <row r="21" spans="1:3" x14ac:dyDescent="0.25">
      <c r="A21" t="s">
        <v>7</v>
      </c>
      <c r="B21">
        <f>B14-B20</f>
        <v>600</v>
      </c>
    </row>
    <row r="22" spans="1:3" x14ac:dyDescent="0.25">
      <c r="A22" t="s">
        <v>6</v>
      </c>
      <c r="B22">
        <f>B21-B20</f>
        <v>200</v>
      </c>
    </row>
    <row r="24" spans="1:3" x14ac:dyDescent="0.25">
      <c r="A24" t="s">
        <v>9</v>
      </c>
      <c r="B24">
        <f>B14*B17/B21</f>
        <v>0.16666666666666666</v>
      </c>
    </row>
    <row r="25" spans="1:3" x14ac:dyDescent="0.25">
      <c r="A25" t="s">
        <v>8</v>
      </c>
      <c r="B25">
        <f>B21*B24/B22</f>
        <v>0.5</v>
      </c>
    </row>
    <row r="27" spans="1:3" x14ac:dyDescent="0.25">
      <c r="A27" s="3" t="s">
        <v>10</v>
      </c>
      <c r="B27" s="3"/>
      <c r="C27" s="3"/>
    </row>
    <row r="28" spans="1:3" x14ac:dyDescent="0.25">
      <c r="A28" t="s">
        <v>11</v>
      </c>
      <c r="B28" s="2"/>
    </row>
    <row r="29" spans="1:3" x14ac:dyDescent="0.25">
      <c r="A29" t="s">
        <v>12</v>
      </c>
      <c r="B29" s="2"/>
    </row>
    <row r="31" spans="1:3" x14ac:dyDescent="0.25">
      <c r="A31" t="s">
        <v>62</v>
      </c>
      <c r="B31">
        <f>B35-B8-(B28+B29+B30)</f>
        <v>44.941055111524207</v>
      </c>
    </row>
    <row r="32" spans="1:3" x14ac:dyDescent="0.25">
      <c r="A32" s="5" t="s">
        <v>63</v>
      </c>
      <c r="B32" s="2">
        <v>35.017569948152961</v>
      </c>
      <c r="C32" t="s">
        <v>33</v>
      </c>
    </row>
    <row r="33" spans="1:4" x14ac:dyDescent="0.25">
      <c r="A33" s="5" t="s">
        <v>64</v>
      </c>
      <c r="B33">
        <f>B39-B37</f>
        <v>9.9234851633712395</v>
      </c>
    </row>
    <row r="34" spans="1:4" x14ac:dyDescent="0.25">
      <c r="B34" t="s">
        <v>33</v>
      </c>
      <c r="C34" s="6" t="s">
        <v>33</v>
      </c>
    </row>
    <row r="35" spans="1:4" x14ac:dyDescent="0.25">
      <c r="A35" t="s">
        <v>14</v>
      </c>
      <c r="B35" s="2">
        <v>104.9999942077914</v>
      </c>
    </row>
    <row r="36" spans="1:4" x14ac:dyDescent="0.25">
      <c r="A36" t="s">
        <v>15</v>
      </c>
      <c r="B36">
        <f>B35-B32</f>
        <v>69.982424259638435</v>
      </c>
    </row>
    <row r="37" spans="1:4" x14ac:dyDescent="0.25">
      <c r="A37" t="s">
        <v>16</v>
      </c>
      <c r="B37">
        <f>B11</f>
        <v>60.058939096267196</v>
      </c>
    </row>
    <row r="39" spans="1:4" x14ac:dyDescent="0.25">
      <c r="A39" t="s">
        <v>47</v>
      </c>
      <c r="B39">
        <f>B36-B28</f>
        <v>69.982424259638435</v>
      </c>
    </row>
    <row r="40" spans="1:4" x14ac:dyDescent="0.25">
      <c r="A40" t="s">
        <v>48</v>
      </c>
      <c r="B40">
        <f>B8</f>
        <v>60.058939096267196</v>
      </c>
    </row>
    <row r="42" spans="1:4" x14ac:dyDescent="0.25">
      <c r="A42" s="3" t="s">
        <v>18</v>
      </c>
      <c r="B42" s="3"/>
      <c r="C42" s="3"/>
    </row>
    <row r="43" spans="1:4" x14ac:dyDescent="0.25">
      <c r="A43" t="s">
        <v>41</v>
      </c>
      <c r="B43" s="2">
        <v>4.18</v>
      </c>
    </row>
    <row r="44" spans="1:4" x14ac:dyDescent="0.25">
      <c r="A44" t="s">
        <v>42</v>
      </c>
      <c r="B44" s="2">
        <v>4.18</v>
      </c>
    </row>
    <row r="45" spans="1:4" x14ac:dyDescent="0.25">
      <c r="A45" t="s">
        <v>43</v>
      </c>
      <c r="B45" s="2">
        <v>4.18</v>
      </c>
    </row>
    <row r="47" spans="1:4" x14ac:dyDescent="0.25">
      <c r="A47" t="s">
        <v>19</v>
      </c>
      <c r="B47">
        <f>IF(D47=D48,C47,_xlfn.FORECAST.LINEAR(B39,C47:C48,D47:D48))</f>
        <v>2626.7701212413854</v>
      </c>
      <c r="C47" s="7">
        <f>INDEX('STEAM TABLE'!$F$2:$F$50,MATCH(backward2!D47,'STEAM TABLE'!$A$2:$A$50))</f>
        <v>2618.3000000000002</v>
      </c>
      <c r="D47" s="7">
        <f>IF(ISERROR(VLOOKUP(B39,'STEAM TABLE'!A2:A50,1,FALSE)),_xlfn.MAXIFS('STEAM TABLE'!A2:A50,'STEAM TABLE'!B2:B50,"&lt;"&amp;backward2!B39),backward2!B39)</f>
        <v>65</v>
      </c>
    </row>
    <row r="48" spans="1:4" x14ac:dyDescent="0.25">
      <c r="C48" s="7">
        <f>INDEX('STEAM TABLE'!$F$2:$F$50,MATCH(backward2!D48,'STEAM TABLE'!$A$2:$A$50))</f>
        <v>2626.8</v>
      </c>
      <c r="D48" s="7">
        <f>IF(ISERROR(VLOOKUP(B39,'STEAM TABLE'!A2:A50,1,FALSE)),_xlfn.MINIFS('STEAM TABLE'!A2:A50,'STEAM TABLE'!B2:B50,"&gt;"&amp;backward2!B39),backward2!B39)</f>
        <v>70</v>
      </c>
    </row>
    <row r="49" spans="1:5" x14ac:dyDescent="0.25">
      <c r="A49" t="s">
        <v>21</v>
      </c>
      <c r="B49">
        <f>IF(D49=D50,C49,_xlfn.FORECAST.LINEAR(B40,C49:C50,D49:D50))</f>
        <v>2609.7025540275044</v>
      </c>
      <c r="C49" s="7">
        <f>INDEX('STEAM TABLE'!$F$2:$F$50,MATCH(backward2!D49,'STEAM TABLE'!$A$2:$A$50))</f>
        <v>2609.6</v>
      </c>
      <c r="D49" s="7">
        <f>IF(ISERROR(VLOOKUP(B40,'STEAM TABLE'!A2:A50,1,FALSE)),_xlfn.MAXIFS('STEAM TABLE'!A2:A50,'STEAM TABLE'!B2:B50,"&lt;"&amp;backward2!B40),backward2!B40)</f>
        <v>60</v>
      </c>
    </row>
    <row r="50" spans="1:5" x14ac:dyDescent="0.25">
      <c r="C50" s="7">
        <f>INDEX('STEAM TABLE'!$F$2:$F$50,MATCH(backward2!D50,'STEAM TABLE'!$A$2:$A$50))</f>
        <v>2618.3000000000002</v>
      </c>
      <c r="D50" s="7">
        <f>IF(ISERROR(VLOOKUP(B40,'STEAM TABLE'!A2:A50,1,FALSE)),_xlfn.MINIFS('STEAM TABLE'!A2:A50,'STEAM TABLE'!B2:B50,"&gt;"&amp;backward2!B40),backward2!B40)</f>
        <v>65</v>
      </c>
    </row>
    <row r="52" spans="1:5" x14ac:dyDescent="0.25">
      <c r="A52" t="s">
        <v>40</v>
      </c>
      <c r="B52" s="2">
        <v>1.8839999999999999</v>
      </c>
    </row>
    <row r="53" spans="1:5" x14ac:dyDescent="0.25">
      <c r="A53" t="s">
        <v>37</v>
      </c>
      <c r="B53">
        <f>B47+$B$52*B28</f>
        <v>2626.7701212413854</v>
      </c>
    </row>
    <row r="54" spans="1:5" x14ac:dyDescent="0.25">
      <c r="A54" t="s">
        <v>38</v>
      </c>
      <c r="B54">
        <f>B49+$B$52*B29</f>
        <v>2609.7025540275044</v>
      </c>
    </row>
    <row r="56" spans="1:5" x14ac:dyDescent="0.25">
      <c r="A56" s="5" t="s">
        <v>66</v>
      </c>
      <c r="B56">
        <f>IF(E56=E57,C56-D56,_xlfn.FORECAST.LINEAR(B35,C56:C57,E56:E57)-_xlfn.FORECAST.LINEAR(B35,D56:D57,E56:E57))</f>
        <v>2243.650015534703</v>
      </c>
      <c r="C56" s="7">
        <f>VLOOKUP(E56,'STEAM TABLE'!$A$2:$F$50,6,FALSE)</f>
        <v>2676.1</v>
      </c>
      <c r="D56" s="7">
        <f>VLOOKUP(E56,'STEAM TABLE'!$A$2:$F$50,5,FALSE)</f>
        <v>419.04</v>
      </c>
      <c r="E56" s="7">
        <f>IF(ISERROR(VLOOKUP(B35,'STEAM TABLE'!A2:A50,1,FALSE)),_xlfn.MAXIFS('STEAM TABLE'!A2:A50,'STEAM TABLE'!B2:B50,"&lt;"&amp;backward2!B35),backward2!B35)</f>
        <v>100</v>
      </c>
    </row>
    <row r="57" spans="1:5" x14ac:dyDescent="0.25">
      <c r="C57" s="7">
        <f>VLOOKUP(E57,'STEAM TABLE'!$A$2:$F$50,6,FALSE)</f>
        <v>2683.8</v>
      </c>
      <c r="D57" s="7">
        <f>VLOOKUP(E57,'STEAM TABLE'!$A$2:$F$50,5,FALSE)</f>
        <v>440.15</v>
      </c>
      <c r="E57" s="7">
        <f>IF(ISERROR(VLOOKUP(B35,'STEAM TABLE'!A2:A50,1,FALSE)),_xlfn.MINIFS('STEAM TABLE'!A2:A50,'STEAM TABLE'!B2:B50,"&gt;"&amp;backward2!B35),backward2!B35)</f>
        <v>105</v>
      </c>
    </row>
    <row r="58" spans="1:5" x14ac:dyDescent="0.25">
      <c r="A58" s="5" t="s">
        <v>67</v>
      </c>
      <c r="B58">
        <f>IF(D58=D59,B47-C58,B47-_xlfn.FORECAST.LINEAR(B39,C58:C59,D58:D59))</f>
        <v>2333.8636581390583</v>
      </c>
      <c r="C58" s="7">
        <f>VLOOKUP(D58,'STEAM TABLE'!$A$2:$F$50,5,FALSE)</f>
        <v>272.06</v>
      </c>
      <c r="D58" s="7">
        <f>IF(ISERROR(VLOOKUP(B39,'STEAM TABLE'!A2:A50,1,FALSE)),_xlfn.MAXIFS('STEAM TABLE'!A2:A50,'STEAM TABLE'!B2:B50,"&lt;"&amp;backward2!B39),backward2!B39)</f>
        <v>65</v>
      </c>
    </row>
    <row r="59" spans="1:5" x14ac:dyDescent="0.25">
      <c r="C59" s="7">
        <f>VLOOKUP(D59,'STEAM TABLE'!$A$2:$F$50,5,FALSE)</f>
        <v>292.98</v>
      </c>
      <c r="D59" s="7">
        <f>IF(ISERROR(VLOOKUP(B39,'STEAM TABLE'!A2:A50,1,FALSE)),_xlfn.MINIFS('STEAM TABLE'!A2:A50,'STEAM TABLE'!B2:B50,"&gt;"&amp;backward2!B39),backward2!B39)</f>
        <v>70</v>
      </c>
    </row>
    <row r="61" spans="1:5" x14ac:dyDescent="0.25">
      <c r="A61" t="s">
        <v>7</v>
      </c>
      <c r="B61">
        <f>(B14*B43*B15+B20*B58-B20*B54)/(B45*B37)</f>
        <v>892.52214931541823</v>
      </c>
    </row>
    <row r="62" spans="1:5" x14ac:dyDescent="0.25">
      <c r="A62" t="s">
        <v>22</v>
      </c>
      <c r="B62">
        <f>(B19*B44*B36+B20*B53-B61*B45*B37)/B56</f>
        <v>394.51291752472503</v>
      </c>
    </row>
    <row r="63" spans="1:5" x14ac:dyDescent="0.25">
      <c r="A63" t="s">
        <v>7</v>
      </c>
      <c r="B63">
        <f>B14-B61</f>
        <v>107.47785068458177</v>
      </c>
    </row>
    <row r="64" spans="1:5" x14ac:dyDescent="0.25">
      <c r="A64" t="s">
        <v>6</v>
      </c>
      <c r="B64">
        <f>B61-B19</f>
        <v>692.52214931541823</v>
      </c>
    </row>
    <row r="66" spans="1:4" x14ac:dyDescent="0.25">
      <c r="A66" s="3" t="s">
        <v>26</v>
      </c>
      <c r="B66" s="3"/>
      <c r="C66" s="3"/>
    </row>
    <row r="67" spans="1:4" x14ac:dyDescent="0.25">
      <c r="A67" t="s">
        <v>51</v>
      </c>
      <c r="B67" s="2">
        <v>2000</v>
      </c>
    </row>
    <row r="68" spans="1:4" x14ac:dyDescent="0.25">
      <c r="A68" t="s">
        <v>52</v>
      </c>
      <c r="B68" s="2">
        <v>2000</v>
      </c>
    </row>
    <row r="70" spans="1:4" x14ac:dyDescent="0.25">
      <c r="A70" t="s">
        <v>27</v>
      </c>
      <c r="B70">
        <f>B62*B56</f>
        <v>885148.91353299026</v>
      </c>
    </row>
    <row r="71" spans="1:4" x14ac:dyDescent="0.25">
      <c r="A71" t="s">
        <v>28</v>
      </c>
      <c r="B71">
        <f>B63*B58</f>
        <v>250838.6497676415</v>
      </c>
    </row>
    <row r="73" spans="1:4" x14ac:dyDescent="0.25">
      <c r="A73" t="s">
        <v>30</v>
      </c>
      <c r="B73">
        <f>B70/(B67*B32)</f>
        <v>12.638639900534823</v>
      </c>
    </row>
    <row r="74" spans="1:4" x14ac:dyDescent="0.25">
      <c r="A74" t="s">
        <v>31</v>
      </c>
      <c r="B74">
        <f>B71/(B68*B33)</f>
        <v>12.638636811466032</v>
      </c>
    </row>
    <row r="76" spans="1:4" x14ac:dyDescent="0.25">
      <c r="A76" t="s">
        <v>78</v>
      </c>
      <c r="B76">
        <f>B73/B74</f>
        <v>1.0000002444147131</v>
      </c>
      <c r="D76" t="s">
        <v>33</v>
      </c>
    </row>
    <row r="77" spans="1:4" x14ac:dyDescent="0.25">
      <c r="B77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F02A0-F21A-412A-A7E5-19A0B5D2859A}">
  <sheetPr codeName="Sheet2"/>
  <dimension ref="A1:J50"/>
  <sheetViews>
    <sheetView topLeftCell="A37" workbookViewId="0">
      <selection activeCell="H9" sqref="H9"/>
    </sheetView>
  </sheetViews>
  <sheetFormatPr defaultRowHeight="15" x14ac:dyDescent="0.25"/>
  <sheetData>
    <row r="1" spans="1:10" x14ac:dyDescent="0.25">
      <c r="A1" t="s">
        <v>54</v>
      </c>
      <c r="B1" t="s">
        <v>54</v>
      </c>
      <c r="C1" t="s">
        <v>55</v>
      </c>
      <c r="D1" t="s">
        <v>55</v>
      </c>
      <c r="E1" t="s">
        <v>45</v>
      </c>
      <c r="F1" t="s">
        <v>46</v>
      </c>
    </row>
    <row r="2" spans="1:10" x14ac:dyDescent="0.25">
      <c r="A2">
        <v>0.01</v>
      </c>
      <c r="B2">
        <v>0.01</v>
      </c>
      <c r="C2">
        <v>0.61129999999999995</v>
      </c>
      <c r="D2">
        <v>0.61129999999999995</v>
      </c>
      <c r="E2">
        <v>0</v>
      </c>
      <c r="F2">
        <v>2501.4</v>
      </c>
    </row>
    <row r="3" spans="1:10" x14ac:dyDescent="0.25">
      <c r="A3">
        <v>3</v>
      </c>
      <c r="B3">
        <v>3</v>
      </c>
      <c r="C3">
        <v>0.75770000000000004</v>
      </c>
      <c r="D3">
        <v>0.75770000000000004</v>
      </c>
      <c r="E3">
        <v>12.57</v>
      </c>
      <c r="F3">
        <v>2506.9</v>
      </c>
    </row>
    <row r="4" spans="1:10" x14ac:dyDescent="0.25">
      <c r="A4">
        <v>6</v>
      </c>
      <c r="B4">
        <v>6</v>
      </c>
      <c r="C4">
        <v>0.93489999999999995</v>
      </c>
      <c r="D4">
        <v>0.93489999999999995</v>
      </c>
      <c r="E4">
        <v>25.2</v>
      </c>
      <c r="F4">
        <v>2512.4</v>
      </c>
      <c r="J4" s="1"/>
    </row>
    <row r="5" spans="1:10" x14ac:dyDescent="0.25">
      <c r="A5">
        <v>9</v>
      </c>
      <c r="B5">
        <v>9</v>
      </c>
      <c r="C5">
        <v>1.1476999999999999</v>
      </c>
      <c r="D5">
        <v>1.1476999999999999</v>
      </c>
      <c r="E5">
        <v>37.799999999999997</v>
      </c>
      <c r="F5">
        <v>2517.9</v>
      </c>
    </row>
    <row r="6" spans="1:10" x14ac:dyDescent="0.25">
      <c r="A6">
        <v>12</v>
      </c>
      <c r="B6">
        <v>12</v>
      </c>
      <c r="C6">
        <v>1.4021999999999999</v>
      </c>
      <c r="D6">
        <v>1.4021999999999999</v>
      </c>
      <c r="E6">
        <v>50.41</v>
      </c>
      <c r="F6">
        <v>2523.4</v>
      </c>
    </row>
    <row r="7" spans="1:10" x14ac:dyDescent="0.25">
      <c r="A7">
        <v>15</v>
      </c>
      <c r="B7">
        <v>15</v>
      </c>
      <c r="C7">
        <v>1.7051000000000001</v>
      </c>
      <c r="D7">
        <v>1.7051000000000001</v>
      </c>
      <c r="E7">
        <v>62.99</v>
      </c>
      <c r="F7">
        <v>2528.9</v>
      </c>
      <c r="G7" t="s">
        <v>33</v>
      </c>
    </row>
    <row r="8" spans="1:10" x14ac:dyDescent="0.25">
      <c r="A8">
        <v>18</v>
      </c>
      <c r="B8">
        <v>18</v>
      </c>
      <c r="C8">
        <v>2.0640000000000001</v>
      </c>
      <c r="D8">
        <v>2.0640000000000001</v>
      </c>
      <c r="E8">
        <v>75.58</v>
      </c>
      <c r="F8">
        <v>2534.4</v>
      </c>
    </row>
    <row r="9" spans="1:10" x14ac:dyDescent="0.25">
      <c r="A9">
        <v>21</v>
      </c>
      <c r="B9">
        <v>21</v>
      </c>
      <c r="C9">
        <v>2.4870000000000001</v>
      </c>
      <c r="D9">
        <v>2.4870000000000001</v>
      </c>
      <c r="E9">
        <v>88.14</v>
      </c>
      <c r="F9">
        <v>2539.9</v>
      </c>
    </row>
    <row r="10" spans="1:10" x14ac:dyDescent="0.25">
      <c r="A10">
        <v>24</v>
      </c>
      <c r="B10">
        <v>24</v>
      </c>
      <c r="C10">
        <v>2.9849999999999999</v>
      </c>
      <c r="D10">
        <v>2.9849999999999999</v>
      </c>
      <c r="E10">
        <v>100.7</v>
      </c>
      <c r="F10">
        <v>2545.4</v>
      </c>
    </row>
    <row r="11" spans="1:10" x14ac:dyDescent="0.25">
      <c r="A11">
        <v>25</v>
      </c>
      <c r="B11">
        <v>25</v>
      </c>
      <c r="C11">
        <v>3.169</v>
      </c>
      <c r="D11">
        <v>3.169</v>
      </c>
      <c r="E11">
        <v>104.89</v>
      </c>
      <c r="F11">
        <v>2547.1999999999998</v>
      </c>
    </row>
    <row r="12" spans="1:10" x14ac:dyDescent="0.25">
      <c r="A12">
        <v>27</v>
      </c>
      <c r="B12">
        <v>27</v>
      </c>
      <c r="C12">
        <v>3.5670000000000002</v>
      </c>
      <c r="D12">
        <v>3.5670000000000002</v>
      </c>
      <c r="E12">
        <v>113.25</v>
      </c>
      <c r="F12">
        <v>2550.8000000000002</v>
      </c>
    </row>
    <row r="13" spans="1:10" x14ac:dyDescent="0.25">
      <c r="A13">
        <v>30</v>
      </c>
      <c r="B13">
        <v>30</v>
      </c>
      <c r="C13">
        <v>4.2460000000000004</v>
      </c>
      <c r="D13">
        <v>4.2460000000000004</v>
      </c>
      <c r="E13">
        <v>125.79</v>
      </c>
      <c r="F13">
        <v>2556.3000000000002</v>
      </c>
    </row>
    <row r="14" spans="1:10" x14ac:dyDescent="0.25">
      <c r="A14">
        <v>33</v>
      </c>
      <c r="B14">
        <v>33</v>
      </c>
      <c r="C14">
        <v>5.0339999999999998</v>
      </c>
      <c r="D14">
        <v>5.0339999999999998</v>
      </c>
      <c r="E14">
        <v>138.33000000000001</v>
      </c>
      <c r="F14">
        <v>2561.6999999999998</v>
      </c>
    </row>
    <row r="15" spans="1:10" x14ac:dyDescent="0.25">
      <c r="A15">
        <v>36</v>
      </c>
      <c r="B15">
        <v>36</v>
      </c>
      <c r="C15">
        <v>5.9470000000000001</v>
      </c>
      <c r="D15">
        <v>5.9470000000000001</v>
      </c>
      <c r="E15">
        <v>150.86000000000001</v>
      </c>
      <c r="F15">
        <v>2567.1</v>
      </c>
    </row>
    <row r="16" spans="1:10" x14ac:dyDescent="0.25">
      <c r="A16">
        <v>40</v>
      </c>
      <c r="B16">
        <v>40</v>
      </c>
      <c r="C16">
        <v>7.3840000000000003</v>
      </c>
      <c r="D16">
        <v>7.3840000000000003</v>
      </c>
      <c r="E16">
        <v>167.57</v>
      </c>
      <c r="F16">
        <v>2574.3000000000002</v>
      </c>
    </row>
    <row r="17" spans="1:7" x14ac:dyDescent="0.25">
      <c r="A17">
        <v>45</v>
      </c>
      <c r="B17">
        <v>45</v>
      </c>
      <c r="C17">
        <v>9.593</v>
      </c>
      <c r="D17">
        <v>9.593</v>
      </c>
      <c r="E17">
        <v>188.45</v>
      </c>
      <c r="F17">
        <v>2583.1999999999998</v>
      </c>
      <c r="G17" t="s">
        <v>33</v>
      </c>
    </row>
    <row r="18" spans="1:7" x14ac:dyDescent="0.25">
      <c r="A18">
        <v>50</v>
      </c>
      <c r="B18">
        <v>50</v>
      </c>
      <c r="C18">
        <v>12.349</v>
      </c>
      <c r="D18">
        <v>12.349</v>
      </c>
      <c r="E18">
        <v>209.33</v>
      </c>
      <c r="F18">
        <v>2592.1</v>
      </c>
    </row>
    <row r="19" spans="1:7" x14ac:dyDescent="0.25">
      <c r="A19">
        <v>55</v>
      </c>
      <c r="B19">
        <v>55</v>
      </c>
      <c r="C19">
        <v>15.757999999999999</v>
      </c>
      <c r="D19">
        <v>15.757999999999999</v>
      </c>
      <c r="E19">
        <v>230.23</v>
      </c>
      <c r="F19">
        <v>2600.9</v>
      </c>
    </row>
    <row r="20" spans="1:7" x14ac:dyDescent="0.25">
      <c r="A20">
        <v>60</v>
      </c>
      <c r="B20">
        <v>60</v>
      </c>
      <c r="C20">
        <v>19.940000000000001</v>
      </c>
      <c r="D20">
        <v>19.940000000000001</v>
      </c>
      <c r="E20">
        <v>251.13</v>
      </c>
      <c r="F20">
        <v>2609.6</v>
      </c>
    </row>
    <row r="21" spans="1:7" x14ac:dyDescent="0.25">
      <c r="A21">
        <v>65</v>
      </c>
      <c r="B21">
        <v>65</v>
      </c>
      <c r="C21">
        <v>25.03</v>
      </c>
      <c r="D21">
        <v>25.03</v>
      </c>
      <c r="E21">
        <v>272.06</v>
      </c>
      <c r="F21">
        <v>2618.3000000000002</v>
      </c>
    </row>
    <row r="22" spans="1:7" x14ac:dyDescent="0.25">
      <c r="A22">
        <v>70</v>
      </c>
      <c r="B22">
        <v>70</v>
      </c>
      <c r="C22">
        <v>31.19</v>
      </c>
      <c r="D22">
        <v>31.19</v>
      </c>
      <c r="E22">
        <v>292.98</v>
      </c>
      <c r="F22">
        <v>2626.8</v>
      </c>
    </row>
    <row r="23" spans="1:7" x14ac:dyDescent="0.25">
      <c r="A23">
        <v>75</v>
      </c>
      <c r="B23">
        <v>75</v>
      </c>
      <c r="C23">
        <v>38.58</v>
      </c>
      <c r="D23">
        <v>38.58</v>
      </c>
      <c r="E23">
        <v>313.93</v>
      </c>
      <c r="F23">
        <v>2635.3</v>
      </c>
    </row>
    <row r="24" spans="1:7" x14ac:dyDescent="0.25">
      <c r="A24">
        <v>80</v>
      </c>
      <c r="B24">
        <v>80</v>
      </c>
      <c r="C24">
        <v>47.39</v>
      </c>
      <c r="D24">
        <v>47.39</v>
      </c>
      <c r="E24">
        <v>334.91</v>
      </c>
      <c r="F24">
        <v>2643.7</v>
      </c>
    </row>
    <row r="25" spans="1:7" x14ac:dyDescent="0.25">
      <c r="A25">
        <v>85</v>
      </c>
      <c r="B25">
        <v>85</v>
      </c>
      <c r="C25">
        <v>57.83</v>
      </c>
      <c r="D25">
        <v>57.83</v>
      </c>
      <c r="E25">
        <v>355.9</v>
      </c>
      <c r="F25">
        <v>2651.9</v>
      </c>
    </row>
    <row r="26" spans="1:7" x14ac:dyDescent="0.25">
      <c r="A26">
        <v>90</v>
      </c>
      <c r="B26">
        <v>90</v>
      </c>
      <c r="C26">
        <v>70.14</v>
      </c>
      <c r="D26">
        <v>70.14</v>
      </c>
      <c r="E26">
        <v>376.92</v>
      </c>
      <c r="F26">
        <v>2660.1</v>
      </c>
    </row>
    <row r="27" spans="1:7" x14ac:dyDescent="0.25">
      <c r="A27">
        <v>95</v>
      </c>
      <c r="B27">
        <v>95</v>
      </c>
      <c r="C27">
        <v>84.55</v>
      </c>
      <c r="D27">
        <v>84.55</v>
      </c>
      <c r="E27">
        <v>397.96</v>
      </c>
      <c r="F27">
        <v>2668.1</v>
      </c>
    </row>
    <row r="28" spans="1:7" x14ac:dyDescent="0.25">
      <c r="A28">
        <v>100</v>
      </c>
      <c r="B28">
        <v>100</v>
      </c>
      <c r="C28">
        <v>101.35</v>
      </c>
      <c r="D28">
        <v>101.35</v>
      </c>
      <c r="E28">
        <v>419.04</v>
      </c>
      <c r="F28">
        <v>2676.1</v>
      </c>
    </row>
    <row r="29" spans="1:7" x14ac:dyDescent="0.25">
      <c r="A29">
        <v>105</v>
      </c>
      <c r="B29">
        <v>105</v>
      </c>
      <c r="C29">
        <v>120.82</v>
      </c>
      <c r="D29">
        <v>120.82</v>
      </c>
      <c r="E29">
        <v>440.15</v>
      </c>
      <c r="F29">
        <v>2683.8</v>
      </c>
    </row>
    <row r="30" spans="1:7" x14ac:dyDescent="0.25">
      <c r="A30">
        <v>110</v>
      </c>
      <c r="B30">
        <v>110</v>
      </c>
      <c r="C30">
        <v>143.27000000000001</v>
      </c>
      <c r="D30">
        <v>143.27000000000001</v>
      </c>
      <c r="E30">
        <v>461.3</v>
      </c>
      <c r="F30">
        <v>2691.5</v>
      </c>
    </row>
    <row r="31" spans="1:7" x14ac:dyDescent="0.25">
      <c r="A31">
        <v>115</v>
      </c>
      <c r="B31">
        <v>115</v>
      </c>
      <c r="C31">
        <v>169.06</v>
      </c>
      <c r="D31">
        <v>169.06</v>
      </c>
      <c r="E31">
        <v>482.48</v>
      </c>
      <c r="F31">
        <v>2669</v>
      </c>
    </row>
    <row r="32" spans="1:7" x14ac:dyDescent="0.25">
      <c r="A32">
        <v>120</v>
      </c>
      <c r="B32">
        <v>120</v>
      </c>
      <c r="C32">
        <v>198.53</v>
      </c>
      <c r="D32">
        <v>198.53</v>
      </c>
      <c r="E32">
        <v>503.71</v>
      </c>
      <c r="F32">
        <v>2706.3</v>
      </c>
    </row>
    <row r="33" spans="1:6" x14ac:dyDescent="0.25">
      <c r="A33">
        <v>125</v>
      </c>
      <c r="B33">
        <v>125</v>
      </c>
      <c r="C33">
        <v>232.1</v>
      </c>
      <c r="D33">
        <v>232.1</v>
      </c>
      <c r="E33">
        <v>524.99</v>
      </c>
      <c r="F33">
        <v>2713.5</v>
      </c>
    </row>
    <row r="34" spans="1:6" x14ac:dyDescent="0.25">
      <c r="A34">
        <v>130</v>
      </c>
      <c r="B34">
        <v>130</v>
      </c>
      <c r="C34">
        <v>270.10000000000002</v>
      </c>
      <c r="D34">
        <v>270.10000000000002</v>
      </c>
      <c r="E34">
        <v>546.30999999999995</v>
      </c>
      <c r="F34">
        <v>2720.5</v>
      </c>
    </row>
    <row r="35" spans="1:6" x14ac:dyDescent="0.25">
      <c r="A35">
        <v>135</v>
      </c>
      <c r="B35">
        <v>135</v>
      </c>
      <c r="C35">
        <v>313</v>
      </c>
      <c r="D35">
        <v>313</v>
      </c>
      <c r="E35">
        <v>567.69000000000005</v>
      </c>
      <c r="F35">
        <v>2727.3</v>
      </c>
    </row>
    <row r="36" spans="1:6" x14ac:dyDescent="0.25">
      <c r="A36">
        <v>140</v>
      </c>
      <c r="B36">
        <v>140</v>
      </c>
      <c r="C36">
        <v>316.3</v>
      </c>
      <c r="D36">
        <v>316.3</v>
      </c>
      <c r="E36">
        <v>589.13</v>
      </c>
      <c r="F36">
        <v>2733.9</v>
      </c>
    </row>
    <row r="37" spans="1:6" x14ac:dyDescent="0.25">
      <c r="A37">
        <v>145</v>
      </c>
      <c r="B37">
        <v>145</v>
      </c>
      <c r="C37">
        <v>415.4</v>
      </c>
      <c r="D37">
        <v>415.4</v>
      </c>
      <c r="E37">
        <v>610.63</v>
      </c>
      <c r="F37">
        <v>2740.3</v>
      </c>
    </row>
    <row r="38" spans="1:6" x14ac:dyDescent="0.25">
      <c r="A38">
        <v>150</v>
      </c>
      <c r="B38">
        <v>150</v>
      </c>
      <c r="C38">
        <v>475.8</v>
      </c>
      <c r="D38">
        <v>475.8</v>
      </c>
      <c r="E38">
        <v>632.20000000000005</v>
      </c>
      <c r="F38">
        <v>2746.5</v>
      </c>
    </row>
    <row r="39" spans="1:6" x14ac:dyDescent="0.25">
      <c r="A39">
        <v>155</v>
      </c>
      <c r="B39">
        <v>155</v>
      </c>
      <c r="C39">
        <v>543.1</v>
      </c>
      <c r="D39">
        <v>543.1</v>
      </c>
      <c r="E39">
        <v>653.84</v>
      </c>
      <c r="F39">
        <v>2752.4</v>
      </c>
    </row>
    <row r="40" spans="1:6" x14ac:dyDescent="0.25">
      <c r="A40">
        <v>160</v>
      </c>
      <c r="B40">
        <v>160</v>
      </c>
      <c r="C40">
        <v>617.79999999999995</v>
      </c>
      <c r="D40">
        <v>617.79999999999995</v>
      </c>
    </row>
    <row r="41" spans="1:6" x14ac:dyDescent="0.25">
      <c r="A41">
        <v>165</v>
      </c>
      <c r="B41">
        <v>165</v>
      </c>
      <c r="C41">
        <v>700.5</v>
      </c>
      <c r="D41">
        <v>700.5</v>
      </c>
    </row>
    <row r="42" spans="1:6" x14ac:dyDescent="0.25">
      <c r="A42">
        <v>170</v>
      </c>
      <c r="B42">
        <v>170</v>
      </c>
      <c r="C42">
        <v>791.7</v>
      </c>
      <c r="D42">
        <v>791.7</v>
      </c>
    </row>
    <row r="43" spans="1:6" x14ac:dyDescent="0.25">
      <c r="A43">
        <v>175</v>
      </c>
      <c r="B43">
        <v>175</v>
      </c>
      <c r="C43">
        <v>892</v>
      </c>
      <c r="D43">
        <v>892</v>
      </c>
    </row>
    <row r="44" spans="1:6" x14ac:dyDescent="0.25">
      <c r="A44">
        <v>180</v>
      </c>
      <c r="B44">
        <v>180</v>
      </c>
      <c r="C44">
        <v>1002.1</v>
      </c>
      <c r="D44">
        <v>1002.1</v>
      </c>
    </row>
    <row r="45" spans="1:6" x14ac:dyDescent="0.25">
      <c r="A45">
        <v>190</v>
      </c>
      <c r="B45">
        <v>190</v>
      </c>
      <c r="C45">
        <v>1254.4000000000001</v>
      </c>
      <c r="D45">
        <v>1254.4000000000001</v>
      </c>
    </row>
    <row r="46" spans="1:6" x14ac:dyDescent="0.25">
      <c r="A46">
        <v>200</v>
      </c>
      <c r="B46">
        <v>200</v>
      </c>
      <c r="C46">
        <v>1553.8</v>
      </c>
      <c r="D46">
        <v>1553.8</v>
      </c>
    </row>
    <row r="47" spans="1:6" x14ac:dyDescent="0.25">
      <c r="A47">
        <v>225</v>
      </c>
      <c r="B47">
        <v>225</v>
      </c>
      <c r="C47">
        <v>2548</v>
      </c>
      <c r="D47">
        <v>2548</v>
      </c>
    </row>
    <row r="48" spans="1:6" x14ac:dyDescent="0.25">
      <c r="A48">
        <v>250</v>
      </c>
      <c r="B48">
        <v>250</v>
      </c>
      <c r="C48">
        <v>3973</v>
      </c>
      <c r="D48">
        <v>3973</v>
      </c>
    </row>
    <row r="49" spans="1:4" x14ac:dyDescent="0.25">
      <c r="A49">
        <v>275</v>
      </c>
      <c r="B49">
        <v>275</v>
      </c>
      <c r="C49">
        <v>5942</v>
      </c>
      <c r="D49">
        <v>5942</v>
      </c>
    </row>
    <row r="50" spans="1:4" x14ac:dyDescent="0.25">
      <c r="A50">
        <v>300</v>
      </c>
      <c r="B50">
        <v>300</v>
      </c>
      <c r="C50">
        <v>8581</v>
      </c>
      <c r="D50">
        <v>8581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petunjuk solver</vt:lpstr>
      <vt:lpstr>forward3</vt:lpstr>
      <vt:lpstr>forward2</vt:lpstr>
      <vt:lpstr>backward3</vt:lpstr>
      <vt:lpstr>backward2</vt:lpstr>
      <vt:lpstr>STEAM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Faiz Rabbani</dc:creator>
  <cp:lastModifiedBy>Faiz Rabbani</cp:lastModifiedBy>
  <dcterms:created xsi:type="dcterms:W3CDTF">2024-11-20T12:15:29Z</dcterms:created>
  <dcterms:modified xsi:type="dcterms:W3CDTF">2024-11-21T02:11:41Z</dcterms:modified>
</cp:coreProperties>
</file>